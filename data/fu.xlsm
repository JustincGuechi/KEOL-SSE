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a4cc5c88d75ad65/Documents/GitHub/Hackathon/KEOL-SSE/Données sources KDM/"/>
    </mc:Choice>
  </mc:AlternateContent>
  <xr:revisionPtr revIDLastSave="0" documentId="13_ncr:1_{976587A1-00DD-425B-A48E-201CBECB3AE2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U" sheetId="1" r:id="rId1"/>
  </sheets>
  <definedNames>
    <definedName name="sup">FU!$B$4:$C$9,FU!$I$4:$J$9,FU!$P$4:$Q$9,FU!$W$4:$X$9,FU!$AD$4:$AE$9,FU!$AK$4:$AL$6,FU!$B$15:$C$20,FU!$I$15:$J$20,FU!$P$15:$Q$20,FU!$W$15:$X$20,FU!$AD$15:$AE$20,FU!$AK$15:$AL$17,FU!$B$26:$C$31,FU!$I$26:$J$31,FU!$P$26:$Q$31,FU!$W$26:$X$31,FU!$AD$26:$AE$31,FU!$AK$26:$AL$28,FU!$B$37:$C$42</definedName>
    <definedName name="_xlnm.Print_Area" localSheetId="0">FU!$A$1:$AL$31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AN1" i="1"/>
  <c r="I2" i="1" l="1"/>
  <c r="P2" i="1" s="1"/>
  <c r="W2" i="1" s="1"/>
  <c r="G4" i="1"/>
  <c r="D5" i="1"/>
  <c r="G6" i="1"/>
  <c r="D7" i="1"/>
  <c r="F8" i="1"/>
  <c r="G9" i="1"/>
  <c r="E9" i="1"/>
  <c r="E8" i="1"/>
  <c r="E7" i="1"/>
  <c r="E6" i="1"/>
  <c r="E5" i="1"/>
  <c r="E4" i="1"/>
  <c r="D4" i="1"/>
  <c r="G5" i="1"/>
  <c r="D6" i="1"/>
  <c r="G7" i="1"/>
  <c r="D9" i="1"/>
  <c r="F4" i="1"/>
  <c r="F6" i="1"/>
  <c r="D8" i="1"/>
  <c r="F9" i="1"/>
  <c r="F5" i="1"/>
  <c r="F7" i="1"/>
  <c r="G8" i="1"/>
  <c r="K2" i="1" l="1"/>
  <c r="K8" i="1" s="1"/>
  <c r="R2" i="1"/>
  <c r="R6" i="1" s="1"/>
  <c r="N4" i="1"/>
  <c r="K9" i="1"/>
  <c r="S6" i="1"/>
  <c r="K6" i="1"/>
  <c r="M6" i="1"/>
  <c r="L6" i="1"/>
  <c r="K5" i="1"/>
  <c r="N8" i="1"/>
  <c r="U8" i="1"/>
  <c r="U6" i="1"/>
  <c r="L7" i="1"/>
  <c r="L5" i="1"/>
  <c r="S9" i="1"/>
  <c r="AD2" i="1"/>
  <c r="Y2" i="1"/>
  <c r="R5" i="1" l="1"/>
  <c r="R4" i="1"/>
  <c r="K7" i="1"/>
  <c r="U5" i="1"/>
  <c r="S8" i="1"/>
  <c r="R7" i="1"/>
  <c r="S7" i="1"/>
  <c r="S4" i="1"/>
  <c r="T6" i="1"/>
  <c r="M7" i="1"/>
  <c r="T9" i="1"/>
  <c r="M9" i="1"/>
  <c r="T8" i="1"/>
  <c r="L8" i="1"/>
  <c r="N5" i="1"/>
  <c r="N9" i="1"/>
  <c r="S5" i="1"/>
  <c r="T5" i="1"/>
  <c r="L9" i="1"/>
  <c r="T4" i="1"/>
  <c r="U9" i="1"/>
  <c r="U7" i="1"/>
  <c r="L4" i="1"/>
  <c r="T7" i="1"/>
  <c r="M4" i="1"/>
  <c r="N7" i="1"/>
  <c r="K4" i="1"/>
  <c r="R9" i="1"/>
  <c r="R8" i="1"/>
  <c r="M8" i="1"/>
  <c r="U4" i="1"/>
  <c r="M5" i="1"/>
  <c r="N6" i="1"/>
  <c r="AA6" i="1"/>
  <c r="Y8" i="1"/>
  <c r="Z9" i="1"/>
  <c r="Z6" i="1"/>
  <c r="Z4" i="1"/>
  <c r="AA9" i="1"/>
  <c r="Z7" i="1"/>
  <c r="AA7" i="1"/>
  <c r="AB8" i="1"/>
  <c r="AB7" i="1"/>
  <c r="AA4" i="1"/>
  <c r="Z8" i="1"/>
  <c r="AA5" i="1"/>
  <c r="AB9" i="1"/>
  <c r="AB5" i="1"/>
  <c r="Y6" i="1"/>
  <c r="AB6" i="1"/>
  <c r="Y7" i="1"/>
  <c r="AA8" i="1"/>
  <c r="Z5" i="1"/>
  <c r="Y4" i="1"/>
  <c r="Y5" i="1"/>
  <c r="Y9" i="1"/>
  <c r="AB4" i="1"/>
  <c r="AK2" i="1"/>
  <c r="AF2" i="1"/>
  <c r="AI6" i="1" l="1"/>
  <c r="AF7" i="1"/>
  <c r="AH8" i="1"/>
  <c r="AI4" i="1"/>
  <c r="AF5" i="1"/>
  <c r="AI9" i="1"/>
  <c r="AG8" i="1"/>
  <c r="AG6" i="1"/>
  <c r="AG5" i="1"/>
  <c r="AI5" i="1"/>
  <c r="AF6" i="1"/>
  <c r="AH6" i="1"/>
  <c r="AF8" i="1"/>
  <c r="AH7" i="1"/>
  <c r="AI8" i="1"/>
  <c r="AH9" i="1"/>
  <c r="AG9" i="1"/>
  <c r="AG7" i="1"/>
  <c r="AF4" i="1"/>
  <c r="AH4" i="1"/>
  <c r="AF9" i="1"/>
  <c r="AH5" i="1"/>
  <c r="AG4" i="1"/>
  <c r="AI7" i="1"/>
  <c r="B13" i="1"/>
  <c r="AM2" i="1"/>
  <c r="AO5" i="1" l="1"/>
  <c r="AN5" i="1"/>
  <c r="AN4" i="1"/>
  <c r="AO4" i="1"/>
  <c r="AP4" i="1"/>
  <c r="AM5" i="1"/>
  <c r="AP5" i="1"/>
  <c r="AM6" i="1"/>
  <c r="AN6" i="1"/>
  <c r="AM4" i="1"/>
  <c r="AO6" i="1"/>
  <c r="AP6" i="1"/>
  <c r="I13" i="1"/>
  <c r="D13" i="1"/>
  <c r="D18" i="1" l="1"/>
  <c r="F19" i="1"/>
  <c r="F17" i="1"/>
  <c r="F15" i="1"/>
  <c r="D19" i="1"/>
  <c r="G18" i="1"/>
  <c r="E16" i="1"/>
  <c r="F20" i="1"/>
  <c r="E19" i="1"/>
  <c r="F16" i="1"/>
  <c r="G20" i="1"/>
  <c r="G15" i="1"/>
  <c r="F18" i="1"/>
  <c r="E15" i="1"/>
  <c r="G16" i="1"/>
  <c r="G19" i="1"/>
  <c r="D15" i="1"/>
  <c r="E17" i="1"/>
  <c r="D17" i="1"/>
  <c r="D20" i="1"/>
  <c r="G17" i="1"/>
  <c r="E20" i="1"/>
  <c r="E18" i="1"/>
  <c r="D16" i="1"/>
  <c r="P13" i="1"/>
  <c r="K13" i="1"/>
  <c r="N15" i="1" l="1"/>
  <c r="N16" i="1"/>
  <c r="M19" i="1"/>
  <c r="M17" i="1"/>
  <c r="M15" i="1"/>
  <c r="N17" i="1"/>
  <c r="L17" i="1"/>
  <c r="K15" i="1"/>
  <c r="K18" i="1"/>
  <c r="L19" i="1"/>
  <c r="L20" i="1"/>
  <c r="M20" i="1"/>
  <c r="N19" i="1"/>
  <c r="M16" i="1"/>
  <c r="K16" i="1"/>
  <c r="K19" i="1"/>
  <c r="M18" i="1"/>
  <c r="N18" i="1"/>
  <c r="L16" i="1"/>
  <c r="L15" i="1"/>
  <c r="N20" i="1"/>
  <c r="K20" i="1"/>
  <c r="L18" i="1"/>
  <c r="K17" i="1"/>
  <c r="W13" i="1"/>
  <c r="R13" i="1"/>
  <c r="T20" i="1" l="1"/>
  <c r="T18" i="1"/>
  <c r="S20" i="1"/>
  <c r="T16" i="1"/>
  <c r="R19" i="1"/>
  <c r="S17" i="1"/>
  <c r="S15" i="1"/>
  <c r="T17" i="1"/>
  <c r="R18" i="1"/>
  <c r="S16" i="1"/>
  <c r="U16" i="1"/>
  <c r="R15" i="1"/>
  <c r="T19" i="1"/>
  <c r="T15" i="1"/>
  <c r="R20" i="1"/>
  <c r="U17" i="1"/>
  <c r="R16" i="1"/>
  <c r="S19" i="1"/>
  <c r="S18" i="1"/>
  <c r="R17" i="1"/>
  <c r="U19" i="1"/>
  <c r="U20" i="1"/>
  <c r="U18" i="1"/>
  <c r="U15" i="1"/>
  <c r="AD13" i="1"/>
  <c r="Y13" i="1"/>
  <c r="AB16" i="1" l="1"/>
  <c r="Y19" i="1"/>
  <c r="AB18" i="1"/>
  <c r="Z20" i="1"/>
  <c r="AB17" i="1"/>
  <c r="AA20" i="1"/>
  <c r="AA18" i="1"/>
  <c r="AB20" i="1"/>
  <c r="AA16" i="1"/>
  <c r="Z15" i="1"/>
  <c r="Z19" i="1"/>
  <c r="Y16" i="1"/>
  <c r="AB19" i="1"/>
  <c r="AA17" i="1"/>
  <c r="Z18" i="1"/>
  <c r="Z17" i="1"/>
  <c r="Z16" i="1"/>
  <c r="Y17" i="1"/>
  <c r="Y15" i="1"/>
  <c r="AB15" i="1"/>
  <c r="AA15" i="1"/>
  <c r="AA19" i="1"/>
  <c r="Y20" i="1"/>
  <c r="Y18" i="1"/>
  <c r="AK13" i="1"/>
  <c r="AF13" i="1"/>
  <c r="AI19" i="1" l="1"/>
  <c r="AH19" i="1"/>
  <c r="AH17" i="1"/>
  <c r="AH15" i="1"/>
  <c r="AF19" i="1"/>
  <c r="AI18" i="1"/>
  <c r="AG19" i="1"/>
  <c r="AI20" i="1"/>
  <c r="AG16" i="1"/>
  <c r="AF20" i="1"/>
  <c r="AH18" i="1"/>
  <c r="AI17" i="1"/>
  <c r="AF16" i="1"/>
  <c r="AH20" i="1"/>
  <c r="AH16" i="1"/>
  <c r="AG17" i="1"/>
  <c r="AG15" i="1"/>
  <c r="AF17" i="1"/>
  <c r="AI15" i="1"/>
  <c r="AF18" i="1"/>
  <c r="AI16" i="1"/>
  <c r="AG18" i="1"/>
  <c r="AF15" i="1"/>
  <c r="AG20" i="1"/>
  <c r="B24" i="1"/>
  <c r="AM13" i="1"/>
  <c r="I24" i="1" l="1"/>
  <c r="D24" i="1"/>
  <c r="AO19" i="1"/>
  <c r="AO17" i="1"/>
  <c r="AM18" i="1"/>
  <c r="AP17" i="1"/>
  <c r="AO15" i="1"/>
  <c r="AN19" i="1"/>
  <c r="AM20" i="1"/>
  <c r="AM17" i="1"/>
  <c r="AP15" i="1"/>
  <c r="AN18" i="1"/>
  <c r="AP19" i="1"/>
  <c r="AN16" i="1"/>
  <c r="AN15" i="1"/>
  <c r="AP16" i="1"/>
  <c r="AO18" i="1"/>
  <c r="AN20" i="1"/>
  <c r="AP20" i="1"/>
  <c r="AP18" i="1"/>
  <c r="AO16" i="1"/>
  <c r="AM15" i="1"/>
  <c r="AM19" i="1"/>
  <c r="AO20" i="1"/>
  <c r="AM16" i="1"/>
  <c r="AN17" i="1"/>
  <c r="F31" i="1" l="1"/>
  <c r="F28" i="1"/>
  <c r="F26" i="1"/>
  <c r="E31" i="1"/>
  <c r="D30" i="1"/>
  <c r="E28" i="1"/>
  <c r="G29" i="1"/>
  <c r="G26" i="1"/>
  <c r="F29" i="1"/>
  <c r="G28" i="1"/>
  <c r="E30" i="1"/>
  <c r="F27" i="1"/>
  <c r="D26" i="1"/>
  <c r="E26" i="1"/>
  <c r="D31" i="1"/>
  <c r="G27" i="1"/>
  <c r="G30" i="1"/>
  <c r="D27" i="1"/>
  <c r="D28" i="1"/>
  <c r="E27" i="1"/>
  <c r="D29" i="1"/>
  <c r="F30" i="1"/>
  <c r="G31" i="1"/>
  <c r="E29" i="1"/>
  <c r="P24" i="1"/>
  <c r="K24" i="1"/>
  <c r="W24" i="1" l="1"/>
  <c r="R24" i="1"/>
  <c r="M30" i="1"/>
  <c r="K27" i="1"/>
  <c r="N26" i="1"/>
  <c r="L31" i="1"/>
  <c r="K30" i="1"/>
  <c r="L28" i="1"/>
  <c r="M31" i="1"/>
  <c r="M28" i="1"/>
  <c r="M26" i="1"/>
  <c r="N31" i="1"/>
  <c r="L30" i="1"/>
  <c r="K29" i="1"/>
  <c r="N28" i="1"/>
  <c r="L29" i="1"/>
  <c r="K28" i="1"/>
  <c r="N30" i="1"/>
  <c r="M29" i="1"/>
  <c r="K31" i="1"/>
  <c r="K26" i="1"/>
  <c r="L27" i="1"/>
  <c r="M27" i="1"/>
  <c r="L26" i="1"/>
  <c r="N27" i="1"/>
  <c r="N29" i="1"/>
  <c r="R28" i="1" l="1"/>
  <c r="T29" i="1"/>
  <c r="T27" i="1"/>
  <c r="R27" i="1"/>
  <c r="U26" i="1"/>
  <c r="T30" i="1"/>
  <c r="S27" i="1"/>
  <c r="U31" i="1"/>
  <c r="S30" i="1"/>
  <c r="R29" i="1"/>
  <c r="U28" i="1"/>
  <c r="T26" i="1"/>
  <c r="S29" i="1"/>
  <c r="R26" i="1"/>
  <c r="S26" i="1"/>
  <c r="U27" i="1"/>
  <c r="T31" i="1"/>
  <c r="T28" i="1"/>
  <c r="U30" i="1"/>
  <c r="U29" i="1"/>
  <c r="R31" i="1"/>
  <c r="R30" i="1"/>
  <c r="S31" i="1"/>
  <c r="S28" i="1"/>
  <c r="AD24" i="1"/>
  <c r="Y24" i="1"/>
  <c r="Z26" i="1" l="1"/>
  <c r="Y30" i="1"/>
  <c r="AA29" i="1"/>
  <c r="AA27" i="1"/>
  <c r="Y26" i="1"/>
  <c r="Z27" i="1"/>
  <c r="AA30" i="1"/>
  <c r="Y31" i="1"/>
  <c r="AB27" i="1"/>
  <c r="AB30" i="1"/>
  <c r="Y28" i="1"/>
  <c r="Z29" i="1"/>
  <c r="AA26" i="1"/>
  <c r="AB29" i="1"/>
  <c r="Y29" i="1"/>
  <c r="AA28" i="1"/>
  <c r="Z30" i="1"/>
  <c r="AB26" i="1"/>
  <c r="Z31" i="1"/>
  <c r="Z28" i="1"/>
  <c r="AA31" i="1"/>
  <c r="AB31" i="1"/>
  <c r="AB28" i="1"/>
  <c r="Y27" i="1"/>
  <c r="AK24" i="1"/>
  <c r="AF24" i="1"/>
  <c r="B35" i="1" l="1"/>
  <c r="AM24" i="1"/>
  <c r="AH31" i="1"/>
  <c r="AH28" i="1"/>
  <c r="AH26" i="1"/>
  <c r="AF29" i="1"/>
  <c r="AF26" i="1"/>
  <c r="AH27" i="1"/>
  <c r="AF28" i="1"/>
  <c r="AI30" i="1"/>
  <c r="AH29" i="1"/>
  <c r="AG26" i="1"/>
  <c r="AF31" i="1"/>
  <c r="AI27" i="1"/>
  <c r="AI28" i="1"/>
  <c r="AH30" i="1"/>
  <c r="AG31" i="1"/>
  <c r="AF27" i="1"/>
  <c r="AG27" i="1"/>
  <c r="AG29" i="1"/>
  <c r="AF30" i="1"/>
  <c r="AG28" i="1"/>
  <c r="AG30" i="1"/>
  <c r="AI29" i="1"/>
  <c r="AI26" i="1"/>
  <c r="AI31" i="1"/>
  <c r="AP28" i="1" l="1"/>
  <c r="AN27" i="1"/>
  <c r="AO28" i="1"/>
  <c r="AO26" i="1"/>
  <c r="AN26" i="1"/>
  <c r="AO27" i="1"/>
  <c r="AM27" i="1"/>
  <c r="AN28" i="1"/>
  <c r="AP27" i="1"/>
  <c r="AM26" i="1"/>
  <c r="AM28" i="1"/>
  <c r="AP26" i="1"/>
  <c r="I35" i="1"/>
  <c r="D35" i="1"/>
  <c r="F41" i="1" l="1"/>
  <c r="D38" i="1"/>
  <c r="G37" i="1"/>
  <c r="E42" i="1"/>
  <c r="D41" i="1"/>
  <c r="E39" i="1"/>
  <c r="F42" i="1"/>
  <c r="F39" i="1"/>
  <c r="F37" i="1"/>
  <c r="G42" i="1"/>
  <c r="E41" i="1"/>
  <c r="D40" i="1"/>
  <c r="G39" i="1"/>
  <c r="D37" i="1"/>
  <c r="F40" i="1"/>
  <c r="D42" i="1"/>
  <c r="D39" i="1"/>
  <c r="G38" i="1"/>
  <c r="E38" i="1"/>
  <c r="F38" i="1"/>
  <c r="E37" i="1"/>
  <c r="E40" i="1"/>
  <c r="G40" i="1"/>
  <c r="G41" i="1"/>
  <c r="P35" i="1"/>
  <c r="K35" i="1"/>
  <c r="M40" i="1" l="1"/>
  <c r="M38" i="1"/>
  <c r="K38" i="1"/>
  <c r="N37" i="1"/>
  <c r="M41" i="1"/>
  <c r="L38" i="1"/>
  <c r="N42" i="1"/>
  <c r="L41" i="1"/>
  <c r="K40" i="1"/>
  <c r="N39" i="1"/>
  <c r="M37" i="1"/>
  <c r="L40" i="1"/>
  <c r="K39" i="1"/>
  <c r="M42" i="1"/>
  <c r="M39" i="1"/>
  <c r="N41" i="1"/>
  <c r="N40" i="1"/>
  <c r="L37" i="1"/>
  <c r="N38" i="1"/>
  <c r="K42" i="1"/>
  <c r="K37" i="1"/>
  <c r="K41" i="1"/>
  <c r="L39" i="1"/>
  <c r="L42" i="1"/>
  <c r="W35" i="1"/>
  <c r="R35" i="1"/>
  <c r="S39" i="1" l="1"/>
  <c r="S42" i="1"/>
  <c r="T40" i="1"/>
  <c r="T38" i="1"/>
  <c r="R37" i="1"/>
  <c r="S38" i="1"/>
  <c r="R41" i="1"/>
  <c r="T41" i="1"/>
  <c r="R42" i="1"/>
  <c r="U38" i="1"/>
  <c r="U41" i="1"/>
  <c r="R39" i="1"/>
  <c r="S40" i="1"/>
  <c r="T37" i="1"/>
  <c r="U40" i="1"/>
  <c r="T39" i="1"/>
  <c r="S41" i="1"/>
  <c r="U39" i="1"/>
  <c r="U37" i="1"/>
  <c r="S37" i="1"/>
  <c r="T42" i="1"/>
  <c r="U42" i="1"/>
  <c r="R40" i="1"/>
  <c r="R38" i="1"/>
  <c r="AD35" i="1"/>
  <c r="Y35" i="1"/>
  <c r="AA42" i="1" l="1"/>
  <c r="AA39" i="1"/>
  <c r="AA37" i="1"/>
  <c r="Y38" i="1"/>
  <c r="Y37" i="1"/>
  <c r="AA38" i="1"/>
  <c r="Y39" i="1"/>
  <c r="AB41" i="1"/>
  <c r="Z40" i="1"/>
  <c r="AB37" i="1"/>
  <c r="AA40" i="1"/>
  <c r="Z37" i="1"/>
  <c r="Y42" i="1"/>
  <c r="AB38" i="1"/>
  <c r="AA41" i="1"/>
  <c r="Z42" i="1"/>
  <c r="AB42" i="1"/>
  <c r="AB40" i="1"/>
  <c r="Y41" i="1"/>
  <c r="AB39" i="1"/>
  <c r="Z39" i="1"/>
  <c r="Z38" i="1"/>
  <c r="Y40" i="1"/>
  <c r="Z41" i="1"/>
  <c r="AK35" i="1"/>
  <c r="AM35" i="1" s="1"/>
  <c r="AF35" i="1"/>
  <c r="AH41" i="1" l="1"/>
  <c r="AI42" i="1"/>
  <c r="AG41" i="1"/>
  <c r="AF40" i="1"/>
  <c r="AI39" i="1"/>
  <c r="AH42" i="1"/>
  <c r="AH39" i="1"/>
  <c r="AH37" i="1"/>
  <c r="AF42" i="1"/>
  <c r="AG37" i="1"/>
  <c r="AF39" i="1"/>
  <c r="AI38" i="1"/>
  <c r="AH38" i="1"/>
  <c r="AF38" i="1"/>
  <c r="AF41" i="1"/>
  <c r="AG39" i="1"/>
  <c r="AI40" i="1"/>
  <c r="AI41" i="1"/>
  <c r="AG38" i="1"/>
  <c r="AF37" i="1"/>
  <c r="AG40" i="1"/>
  <c r="AH40" i="1"/>
  <c r="AI37" i="1"/>
  <c r="AG42" i="1"/>
  <c r="AO38" i="1"/>
  <c r="AN38" i="1"/>
  <c r="AP39" i="1"/>
  <c r="AO39" i="1"/>
  <c r="AN37" i="1"/>
  <c r="AP38" i="1"/>
  <c r="AO37" i="1"/>
  <c r="AP37" i="1"/>
  <c r="AN39" i="1"/>
  <c r="AM37" i="1"/>
  <c r="AM38" i="1"/>
  <c r="AM39" i="1"/>
</calcChain>
</file>

<file path=xl/sharedStrings.xml><?xml version="1.0" encoding="utf-8"?>
<sst xmlns="http://schemas.openxmlformats.org/spreadsheetml/2006/main" count="91" uniqueCount="13">
  <si>
    <t>Lundi</t>
  </si>
  <si>
    <t>Mardi</t>
  </si>
  <si>
    <t>Mercredi</t>
  </si>
  <si>
    <t>Jeudi</t>
  </si>
  <si>
    <t>Vendredi</t>
  </si>
  <si>
    <t>Samedi</t>
  </si>
  <si>
    <t>M1</t>
  </si>
  <si>
    <t>M2</t>
  </si>
  <si>
    <t>KO</t>
  </si>
  <si>
    <t xml:space="preserve"> </t>
  </si>
  <si>
    <t xml:space="preserve">  </t>
  </si>
  <si>
    <t xml:space="preserve">              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</si>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</sst>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-mmm;@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16" fontId="2" fillId="0" borderId="4" xfId="0" applyNumberFormat="1" applyFont="1" applyBorder="1" applyAlignment="1" applyProtection="1">
      <alignment horizontal="center"/>
      <protection locked="0"/>
    </xf>
    <xf numFmtId="16" fontId="2" fillId="0" borderId="5" xfId="0" applyNumberFormat="1" applyFont="1" applyBorder="1" applyAlignment="1" applyProtection="1">
      <alignment horizontal="center"/>
      <protection locked="0"/>
    </xf>
    <xf numFmtId="16" fontId="2" fillId="0" borderId="6" xfId="0" applyNumberFormat="1" applyFont="1" applyBorder="1" applyAlignment="1" applyProtection="1">
      <alignment horizontal="center"/>
      <protection locked="0"/>
    </xf>
    <xf numFmtId="164" fontId="2" fillId="0" borderId="4" xfId="0" applyNumberFormat="1" applyFont="1" applyBorder="1" applyAlignment="1" applyProtection="1">
      <alignment horizontal="center"/>
      <protection locked="0"/>
    </xf>
    <xf numFmtId="164" fontId="2" fillId="0" borderId="5" xfId="0" applyNumberFormat="1" applyFont="1" applyBorder="1" applyAlignment="1" applyProtection="1">
      <alignment horizontal="center"/>
      <protection locked="0"/>
    </xf>
    <xf numFmtId="164" fontId="2" fillId="2" borderId="5" xfId="1" applyNumberFormat="1" applyFont="1" applyBorder="1" applyAlignment="1" applyProtection="1">
      <alignment horizontal="center"/>
      <protection locked="0"/>
    </xf>
    <xf numFmtId="164" fontId="2" fillId="0" borderId="6" xfId="0" applyNumberFormat="1" applyFont="1" applyBorder="1" applyAlignment="1" applyProtection="1">
      <alignment horizontal="center"/>
      <protection locked="0"/>
    </xf>
    <xf numFmtId="16" fontId="2" fillId="3" borderId="5" xfId="0" applyNumberFormat="1" applyFont="1" applyFill="1" applyBorder="1" applyAlignment="1" applyProtection="1">
      <alignment horizontal="center"/>
      <protection locked="0"/>
    </xf>
    <xf numFmtId="16" fontId="2" fillId="4" borderId="6" xfId="0" applyNumberFormat="1" applyFont="1" applyFill="1" applyBorder="1" applyAlignment="1" applyProtection="1">
      <alignment horizontal="center"/>
      <protection locked="0"/>
    </xf>
    <xf numFmtId="16" fontId="2" fillId="0" borderId="0" xfId="0" applyNumberFormat="1" applyFont="1"/>
    <xf numFmtId="16" fontId="2" fillId="5" borderId="4" xfId="0" applyNumberFormat="1" applyFont="1" applyFill="1" applyBorder="1" applyAlignment="1" applyProtection="1">
      <alignment horizontal="center"/>
      <protection locked="0"/>
    </xf>
    <xf numFmtId="16" fontId="2" fillId="5" borderId="5" xfId="0" applyNumberFormat="1" applyFont="1" applyFill="1" applyBorder="1" applyAlignment="1" applyProtection="1">
      <alignment horizontal="center"/>
      <protection locked="0"/>
    </xf>
    <xf numFmtId="16" fontId="2" fillId="5" borderId="6" xfId="0" applyNumberFormat="1" applyFont="1" applyFill="1" applyBorder="1" applyAlignment="1" applyProtection="1">
      <alignment horizontal="center"/>
      <protection locked="0"/>
    </xf>
    <xf numFmtId="164" fontId="0" fillId="4" borderId="6" xfId="0" applyNumberFormat="1" applyFill="1" applyBorder="1" applyAlignment="1" applyProtection="1">
      <alignment horizontal="center"/>
      <protection locked="0"/>
    </xf>
    <xf numFmtId="164" fontId="2" fillId="5" borderId="5" xfId="0" applyNumberFormat="1" applyFont="1" applyFill="1" applyBorder="1" applyAlignment="1" applyProtection="1">
      <alignment horizontal="center"/>
      <protection locked="0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/>
    <xf numFmtId="0" fontId="2" fillId="0" borderId="1" xfId="0" applyFont="1" applyBorder="1" applyAlignment="1">
      <alignment horizontal="center"/>
    </xf>
    <xf numFmtId="16" fontId="2" fillId="0" borderId="4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6" fontId="2" fillId="0" borderId="1" xfId="0" applyNumberFormat="1" applyFont="1" applyBorder="1" applyAlignment="1">
      <alignment horizontal="center"/>
    </xf>
    <xf numFmtId="16" fontId="2" fillId="0" borderId="0" xfId="0" applyNumberFormat="1" applyFont="1" applyAlignment="1">
      <alignment horizontal="center"/>
    </xf>
    <xf numFmtId="0" fontId="2" fillId="0" borderId="2" xfId="0" applyFont="1" applyBorder="1" applyAlignment="1">
      <alignment horizontal="center"/>
    </xf>
    <xf numFmtId="16" fontId="2" fillId="0" borderId="5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" fontId="2" fillId="0" borderId="2" xfId="0" applyNumberFormat="1" applyFont="1" applyBorder="1" applyAlignment="1">
      <alignment horizontal="center"/>
    </xf>
    <xf numFmtId="16" fontId="2" fillId="0" borderId="7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" fontId="2" fillId="0" borderId="6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6" fontId="2" fillId="0" borderId="3" xfId="0" applyNumberFormat="1" applyFont="1" applyBorder="1" applyAlignment="1">
      <alignment horizontal="center"/>
    </xf>
    <xf numFmtId="20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3" borderId="0" xfId="0" applyFont="1" applyFill="1"/>
    <xf numFmtId="14" fontId="2" fillId="3" borderId="0" xfId="0" applyNumberFormat="1" applyFont="1" applyFill="1"/>
    <xf numFmtId="0" fontId="2" fillId="3" borderId="1" xfId="0" applyFont="1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0" borderId="8" xfId="0" applyNumberFormat="1" applyFont="1" applyBorder="1" applyAlignment="1" applyProtection="1">
      <alignment horizontal="center"/>
      <protection locked="0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4" fontId="2" fillId="0" borderId="0" xfId="0" applyNumberFormat="1" applyFont="1" applyAlignment="1" applyProtection="1">
      <alignment horizontal="center"/>
      <protection locked="0"/>
    </xf>
  </cellXfs>
  <cellStyles count="2">
    <cellStyle name="Normal" xfId="0" builtinId="0"/>
    <cellStyle name="Satisfaisant" xfId="1" builtinId="26"/>
  </cellStyles>
  <dxfs count="1208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652182</xdr:colOff>
      <xdr:row>1</xdr:row>
      <xdr:rowOff>123826</xdr:rowOff>
    </xdr:from>
    <xdr:to>
      <xdr:col>52</xdr:col>
      <xdr:colOff>156882</xdr:colOff>
      <xdr:row>9</xdr:row>
      <xdr:rowOff>180976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91607" y="314326"/>
          <a:ext cx="7124700" cy="1571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/>
            <a:t>Lors</a:t>
          </a:r>
          <a:r>
            <a:rPr lang="fr-FR" sz="1600" baseline="0"/>
            <a:t> du test FU, mettre la date sous forme  jj/MM  dans la case correspondante.</a:t>
          </a:r>
        </a:p>
        <a:p>
          <a:pPr algn="l"/>
          <a:r>
            <a:rPr lang="fr-FR" sz="1600" baseline="0"/>
            <a:t>Si une  case est orange, la rame doit impérativement être faite dans la journée.</a:t>
          </a:r>
        </a:p>
        <a:p>
          <a:pPr algn="l"/>
          <a:r>
            <a:rPr lang="fr-FR" sz="1600" baseline="0"/>
            <a:t>Si une case est rouge, la rame ne peut pas circuler sans test de FU.</a:t>
          </a:r>
        </a:p>
        <a:p>
          <a:pPr algn="l"/>
          <a:r>
            <a:rPr lang="fr-FR" sz="1600" baseline="0"/>
            <a:t>Si un test FU est non conforme, mettre Ko dans la case et effectuer un SAT.</a:t>
          </a:r>
        </a:p>
      </xdr:txBody>
    </xdr:sp>
    <xdr:clientData/>
  </xdr:twoCellAnchor>
  <xdr:twoCellAnchor>
    <xdr:from>
      <xdr:col>42</xdr:col>
      <xdr:colOff>495301</xdr:colOff>
      <xdr:row>36</xdr:row>
      <xdr:rowOff>114300</xdr:rowOff>
    </xdr:from>
    <xdr:to>
      <xdr:col>46</xdr:col>
      <xdr:colOff>285751</xdr:colOff>
      <xdr:row>43</xdr:row>
      <xdr:rowOff>161925</xdr:rowOff>
    </xdr:to>
    <xdr:sp macro="[0]!Macro1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A9C1D56-AA97-4D7F-B2EF-81EDBA82E209}"/>
            </a:ext>
          </a:extLst>
        </xdr:cNvPr>
        <xdr:cNvSpPr/>
      </xdr:nvSpPr>
      <xdr:spPr>
        <a:xfrm>
          <a:off x="10991851" y="6953250"/>
          <a:ext cx="2838450" cy="138112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52400" prst="relaxedInset"/>
          <a:bevelB w="88900"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600"/>
            <a:t>Utiliser</a:t>
          </a:r>
          <a:r>
            <a:rPr lang="fr-FR" sz="1600" baseline="0"/>
            <a:t> ce bouton uniqument après le dernier samedi                                                                                                                      </a:t>
          </a:r>
          <a:r>
            <a:rPr lang="fr-FR" sz="4000"/>
            <a:t>RAZ</a:t>
          </a:r>
        </a:p>
      </xdr:txBody>
    </xdr:sp>
    <xdr:clientData/>
  </xdr:twoCellAnchor>
  <xdr:twoCellAnchor editAs="oneCell">
    <xdr:from>
      <xdr:col>43</xdr:col>
      <xdr:colOff>104777</xdr:colOff>
      <xdr:row>40</xdr:row>
      <xdr:rowOff>55574</xdr:rowOff>
    </xdr:from>
    <xdr:to>
      <xdr:col>43</xdr:col>
      <xdr:colOff>628651</xdr:colOff>
      <xdr:row>42</xdr:row>
      <xdr:rowOff>103619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FDBD1C8-3EB0-4ACB-9496-80D7E54B04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246" r="-484"/>
        <a:stretch/>
      </xdr:blipFill>
      <xdr:spPr>
        <a:xfrm>
          <a:off x="11363327" y="7656524"/>
          <a:ext cx="523874" cy="429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Y59"/>
  <sheetViews>
    <sheetView tabSelected="1" showRuler="0" topLeftCell="A10" zoomScaleNormal="100" zoomScalePageLayoutView="90" workbookViewId="0">
      <selection activeCell="AE29" sqref="AE29"/>
    </sheetView>
  </sheetViews>
  <sheetFormatPr baseColWidth="10" defaultColWidth="11.453125" defaultRowHeight="14.5" x14ac:dyDescent="0.35"/>
  <cols>
    <col min="1" max="3" width="8.1796875" style="1" customWidth="1"/>
    <col min="4" max="4" width="11.54296875" style="1" hidden="1" customWidth="1"/>
    <col min="5" max="7" width="8.1796875" style="1" hidden="1" customWidth="1"/>
    <col min="8" max="10" width="8.1796875" style="1" customWidth="1"/>
    <col min="11" max="11" width="11.26953125" style="1" hidden="1" customWidth="1"/>
    <col min="12" max="14" width="8.1796875" style="1" hidden="1" customWidth="1"/>
    <col min="15" max="17" width="8.1796875" style="1" customWidth="1"/>
    <col min="18" max="21" width="8.1796875" style="1" hidden="1" customWidth="1"/>
    <col min="22" max="24" width="8.1796875" style="1" customWidth="1"/>
    <col min="25" max="28" width="8.1796875" style="1" hidden="1" customWidth="1"/>
    <col min="29" max="31" width="8.1796875" style="1" customWidth="1"/>
    <col min="32" max="35" width="8.1796875" style="1" hidden="1" customWidth="1"/>
    <col min="36" max="37" width="8.1796875" style="1" customWidth="1"/>
    <col min="38" max="38" width="9.1796875" style="1" customWidth="1"/>
    <col min="39" max="42" width="11.26953125" style="2" hidden="1" customWidth="1"/>
    <col min="43" max="43" width="11.26953125" style="2" customWidth="1"/>
    <col min="44" max="16384" width="11.453125" style="2"/>
  </cols>
  <sheetData>
    <row r="1" spans="1:42" x14ac:dyDescent="0.35">
      <c r="A1" s="18"/>
      <c r="B1" s="44" t="s">
        <v>0</v>
      </c>
      <c r="C1" s="44"/>
      <c r="I1" s="44" t="s">
        <v>1</v>
      </c>
      <c r="J1" s="44"/>
      <c r="P1" s="44" t="s">
        <v>2</v>
      </c>
      <c r="Q1" s="44"/>
      <c r="W1" s="44" t="s">
        <v>3</v>
      </c>
      <c r="X1" s="44"/>
      <c r="AD1" s="44" t="s">
        <v>4</v>
      </c>
      <c r="AE1" s="44"/>
      <c r="AK1" s="45" t="s">
        <v>5</v>
      </c>
      <c r="AL1" s="45"/>
      <c r="AN1" s="19">
        <f ca="1">TODAY()</f>
        <v>45612</v>
      </c>
    </row>
    <row r="2" spans="1:42" x14ac:dyDescent="0.35">
      <c r="B2" s="46">
        <v>45586</v>
      </c>
      <c r="C2" s="46"/>
      <c r="D2" s="18">
        <f>B2+1</f>
        <v>45587</v>
      </c>
      <c r="I2" s="43">
        <f>B2+1</f>
        <v>45587</v>
      </c>
      <c r="J2" s="43"/>
      <c r="K2" s="18">
        <f>I2+1</f>
        <v>45588</v>
      </c>
      <c r="L2" s="18"/>
      <c r="M2" s="18"/>
      <c r="N2" s="18"/>
      <c r="O2" s="18"/>
      <c r="P2" s="43">
        <f>I2+1</f>
        <v>45588</v>
      </c>
      <c r="Q2" s="43"/>
      <c r="R2" s="18">
        <f>P2+1</f>
        <v>45589</v>
      </c>
      <c r="S2" s="18"/>
      <c r="T2" s="18"/>
      <c r="U2" s="18"/>
      <c r="V2" s="18"/>
      <c r="W2" s="43">
        <f>P2+1</f>
        <v>45589</v>
      </c>
      <c r="X2" s="43"/>
      <c r="Y2" s="18">
        <f>W2+1</f>
        <v>45590</v>
      </c>
      <c r="Z2" s="18"/>
      <c r="AA2" s="18"/>
      <c r="AB2" s="18"/>
      <c r="AC2" s="18"/>
      <c r="AD2" s="43">
        <f>W2+1</f>
        <v>45590</v>
      </c>
      <c r="AE2" s="43"/>
      <c r="AF2" s="18">
        <f>AD2+1</f>
        <v>45591</v>
      </c>
      <c r="AG2" s="18"/>
      <c r="AH2" s="18"/>
      <c r="AI2" s="18"/>
      <c r="AK2" s="43">
        <f>AD2+1</f>
        <v>45591</v>
      </c>
      <c r="AL2" s="44"/>
      <c r="AM2" s="18">
        <f>AK2+1</f>
        <v>45592</v>
      </c>
    </row>
    <row r="3" spans="1:42" ht="14.25" customHeight="1" x14ac:dyDescent="0.35">
      <c r="A3" s="18"/>
      <c r="B3" s="1" t="s">
        <v>6</v>
      </c>
      <c r="C3" s="1" t="s">
        <v>7</v>
      </c>
      <c r="I3" s="1" t="s">
        <v>6</v>
      </c>
      <c r="J3" s="1" t="s">
        <v>7</v>
      </c>
      <c r="P3" s="1" t="s">
        <v>6</v>
      </c>
      <c r="Q3" s="1" t="s">
        <v>7</v>
      </c>
      <c r="W3" s="1" t="s">
        <v>6</v>
      </c>
      <c r="X3" s="1" t="s">
        <v>7</v>
      </c>
      <c r="AD3" s="1" t="s">
        <v>6</v>
      </c>
      <c r="AE3" s="1" t="s">
        <v>7</v>
      </c>
      <c r="AK3" s="1" t="s">
        <v>6</v>
      </c>
      <c r="AL3" s="1" t="s">
        <v>7</v>
      </c>
    </row>
    <row r="4" spans="1:42" x14ac:dyDescent="0.35">
      <c r="A4" s="20">
        <v>1001</v>
      </c>
      <c r="B4" s="13">
        <v>45586</v>
      </c>
      <c r="C4" s="13">
        <v>45586</v>
      </c>
      <c r="D4" s="21" t="str">
        <f ca="1">IF(AND((B4=$A$3),($AN$1=D$2)),"ok","ko")</f>
        <v>ko</v>
      </c>
      <c r="E4" s="22" t="str">
        <f ca="1">IF(AND((B4=$A$3),($AN$1&gt;D$2)),"ok","ko")</f>
        <v>ko</v>
      </c>
      <c r="F4" s="22" t="str">
        <f ca="1">IF(AND((C4=$A$3),($AN$1=D$2)),"ok","ko")</f>
        <v>ko</v>
      </c>
      <c r="G4" s="22" t="str">
        <f ca="1">IF(AND((C4=$A$3),($AN$1&gt;D$2)),"ok","ko")</f>
        <v>ko</v>
      </c>
      <c r="H4" s="22">
        <v>1007</v>
      </c>
      <c r="I4" s="13">
        <v>45590</v>
      </c>
      <c r="J4" s="13">
        <v>45590</v>
      </c>
      <c r="K4" s="23" t="str">
        <f t="shared" ref="K4:K9" ca="1" si="0">IF(AND((I4=$A$3),($AN$1=$K$2)),"ok","ko")</f>
        <v>ko</v>
      </c>
      <c r="L4" s="25" t="str">
        <f t="shared" ref="L4:L9" ca="1" si="1">IF(AND((I4=$A$3),($AN$1&gt;$K$2)),"ok","ko")</f>
        <v>ko</v>
      </c>
      <c r="M4" s="20" t="str">
        <f t="shared" ref="M4:M9" ca="1" si="2">IF(AND((J4=$A$3),($AN$1=$K$2)),"ok","ko")</f>
        <v>ko</v>
      </c>
      <c r="N4" s="20" t="str">
        <f t="shared" ref="N4:N9" ca="1" si="3">IF(AND((J4=$A$3),($AN$1&gt;$K$2)),"ok","ko")</f>
        <v>ko</v>
      </c>
      <c r="O4" s="22">
        <v>1013</v>
      </c>
      <c r="P4" s="3">
        <v>45588</v>
      </c>
      <c r="Q4" s="6">
        <v>45588</v>
      </c>
      <c r="R4" s="21" t="str">
        <f t="shared" ref="R4:R9" ca="1" si="4">IF(AND((P4=$A$3),($AN$1=$R$2)),"ok","ko")</f>
        <v>ko</v>
      </c>
      <c r="S4" s="22" t="str">
        <f t="shared" ref="S4:S9" ca="1" si="5">IF(AND((P4=$A$3),($AN$1&gt;$R$2)),"ok","ko")</f>
        <v>ko</v>
      </c>
      <c r="T4" s="22" t="str">
        <f t="shared" ref="T4:T9" ca="1" si="6">IF(AND((Q4=$A$3),($AN$1=$R$2)),"ok","ko")</f>
        <v>ko</v>
      </c>
      <c r="U4" s="22" t="str">
        <f t="shared" ref="U4:U9" ca="1" si="7">IF(AND((Q4=$A$3),($AN$1&gt;$R$2)),"ok","ko")</f>
        <v>ko</v>
      </c>
      <c r="V4" s="22">
        <v>1019</v>
      </c>
      <c r="W4" s="3">
        <v>45590</v>
      </c>
      <c r="X4" s="3">
        <v>45589</v>
      </c>
      <c r="Y4" s="21" t="str">
        <f t="shared" ref="Y4:Y9" ca="1" si="8">IF(AND((W4=$A$3),($AN$1=$Y$2)),"ok","ko")</f>
        <v>ko</v>
      </c>
      <c r="Z4" s="22" t="str">
        <f t="shared" ref="Z4:Z9" ca="1" si="9">IF(AND((W4=$A$3),($AN$1&gt;$Y$2)),"ok","ko")</f>
        <v>ko</v>
      </c>
      <c r="AA4" s="22" t="str">
        <f t="shared" ref="AA4:AA9" ca="1" si="10">IF(AND((X4=$A$3),($AN$1=$Y$2)),"ok","ko")</f>
        <v>ko</v>
      </c>
      <c r="AB4" s="22" t="str">
        <f t="shared" ref="AB4:AB9" ca="1" si="11">IF(AND((X4=$A$3),($AN$1&gt;$Y$2)),"ok","ko")</f>
        <v>ko</v>
      </c>
      <c r="AC4" s="22">
        <v>1025</v>
      </c>
      <c r="AD4" s="3">
        <v>45590</v>
      </c>
      <c r="AE4" s="3">
        <v>45590</v>
      </c>
      <c r="AF4" s="21" t="str">
        <f t="shared" ref="AF4:AF9" ca="1" si="12">IF(AND((AD4=$A$3),($AN$1=AF$2)),"ok","ko")</f>
        <v>ko</v>
      </c>
      <c r="AG4" s="22" t="str">
        <f t="shared" ref="AG4:AG9" ca="1" si="13">IF(AND((AD4=$A$3),($AN$1&gt;AF$2)),"ok","ko")</f>
        <v>ko</v>
      </c>
      <c r="AH4" s="22" t="str">
        <f t="shared" ref="AH4:AH9" ca="1" si="14">IF(AND((AE4=$A$3),($AN$1=AF$2)),"ok","ko")</f>
        <v>ko</v>
      </c>
      <c r="AI4" s="22" t="str">
        <f t="shared" ref="AI4:AI9" ca="1" si="15">IF(AND((AE4=$A$3),($AN$1&gt;AF$2)),"ok","ko")</f>
        <v>ko</v>
      </c>
      <c r="AJ4" s="22">
        <v>1031</v>
      </c>
      <c r="AK4" s="3">
        <v>45591</v>
      </c>
      <c r="AL4" s="3">
        <v>45591</v>
      </c>
      <c r="AM4" s="24" t="str">
        <f ca="1">IF(AND((AK4=$A$3),($AN$1=AM$2)),"ok","ko")</f>
        <v>ko</v>
      </c>
      <c r="AN4" s="1" t="str">
        <f ca="1">IF(AND((AK4=$A$3),($AN$1&gt;AM$2)),"ok","ko")</f>
        <v>ko</v>
      </c>
      <c r="AO4" s="1" t="str">
        <f ca="1">IF(AND((AL4=$A$3),($AN$1=AM$2)),"ok","ko")</f>
        <v>ko</v>
      </c>
      <c r="AP4" s="1" t="str">
        <f ca="1">IF(AND((AL4=$A$3),($AN$1&gt;AM$2)),"ok","ko")</f>
        <v>ko</v>
      </c>
    </row>
    <row r="5" spans="1:42" x14ac:dyDescent="0.35">
      <c r="A5" s="25">
        <v>1002</v>
      </c>
      <c r="B5" s="14">
        <v>45586</v>
      </c>
      <c r="C5" s="14">
        <v>45586</v>
      </c>
      <c r="D5" s="26" t="str">
        <f ca="1">IF(AND((B5=$A$3),($AN$1=$D$2)),"ok","ko")</f>
        <v>ko</v>
      </c>
      <c r="E5" s="27" t="str">
        <f ca="1">IF(AND((B5=$A$3),($AN$1&gt;$D$2)),"ok","ko")</f>
        <v>ko</v>
      </c>
      <c r="F5" s="27" t="str">
        <f ca="1">IF(AND((C5=$A$3),($AN$1=$D$2)),"ok","ko")</f>
        <v>ko</v>
      </c>
      <c r="G5" s="27" t="str">
        <f ca="1">IF(AND((C5=$A$3),($AN$1&gt;$D$2)),"ok","ko")</f>
        <v>ko</v>
      </c>
      <c r="H5" s="27">
        <v>1008</v>
      </c>
      <c r="I5" s="14">
        <v>45587</v>
      </c>
      <c r="J5" s="14">
        <v>45587</v>
      </c>
      <c r="K5" s="23" t="str">
        <f t="shared" ca="1" si="0"/>
        <v>ko</v>
      </c>
      <c r="L5" s="25" t="str">
        <f t="shared" ca="1" si="1"/>
        <v>ko</v>
      </c>
      <c r="M5" s="20" t="str">
        <f t="shared" ca="1" si="2"/>
        <v>ko</v>
      </c>
      <c r="N5" s="20" t="str">
        <f t="shared" ca="1" si="3"/>
        <v>ko</v>
      </c>
      <c r="O5" s="27">
        <v>1014</v>
      </c>
      <c r="P5" s="7">
        <v>45588</v>
      </c>
      <c r="Q5" s="7">
        <v>45588</v>
      </c>
      <c r="R5" s="26" t="str">
        <f t="shared" ca="1" si="4"/>
        <v>ko</v>
      </c>
      <c r="S5" s="27" t="str">
        <f t="shared" ca="1" si="5"/>
        <v>ko</v>
      </c>
      <c r="T5" s="27" t="str">
        <f t="shared" ca="1" si="6"/>
        <v>ko</v>
      </c>
      <c r="U5" s="27" t="str">
        <f t="shared" ca="1" si="7"/>
        <v>ko</v>
      </c>
      <c r="V5" s="27">
        <v>1020</v>
      </c>
      <c r="W5" s="4">
        <v>1020</v>
      </c>
      <c r="X5" s="4">
        <v>45589</v>
      </c>
      <c r="Y5" s="26" t="str">
        <f t="shared" ca="1" si="8"/>
        <v>ko</v>
      </c>
      <c r="Z5" s="27" t="str">
        <f t="shared" ca="1" si="9"/>
        <v>ko</v>
      </c>
      <c r="AA5" s="27" t="str">
        <f t="shared" ca="1" si="10"/>
        <v>ko</v>
      </c>
      <c r="AB5" s="27" t="str">
        <f t="shared" ca="1" si="11"/>
        <v>ko</v>
      </c>
      <c r="AC5" s="27">
        <v>1026</v>
      </c>
      <c r="AD5" s="4">
        <v>45590</v>
      </c>
      <c r="AE5" s="4"/>
      <c r="AF5" s="26" t="str">
        <f t="shared" ca="1" si="12"/>
        <v>ko</v>
      </c>
      <c r="AG5" s="27" t="str">
        <f t="shared" ca="1" si="13"/>
        <v>ko</v>
      </c>
      <c r="AH5" s="27" t="str">
        <f t="shared" ca="1" si="14"/>
        <v>ko</v>
      </c>
      <c r="AI5" s="27" t="str">
        <f t="shared" ca="1" si="15"/>
        <v>ok</v>
      </c>
      <c r="AJ5" s="27">
        <v>1032</v>
      </c>
      <c r="AK5" s="4">
        <v>45591</v>
      </c>
      <c r="AL5" s="4">
        <v>45591</v>
      </c>
      <c r="AM5" s="24" t="str">
        <f ca="1">IF(AND((AK5=$A$3),($AN$1=AM$2)),"ok","ko")</f>
        <v>ko</v>
      </c>
      <c r="AN5" s="1" t="str">
        <f ca="1">IF(AND((AK5=$A$3),($AN$1&gt;AM$2)),"ok","ko")</f>
        <v>ko</v>
      </c>
      <c r="AO5" s="1" t="str">
        <f ca="1">IF(AND((AL5=$A$3),($AN$1=AM$2)),"ok","ko")</f>
        <v>ko</v>
      </c>
      <c r="AP5" s="1" t="str">
        <f ca="1">IF(AND((AL5=$A$3),($AN$1&gt;AM$2)),"ok","ko")</f>
        <v>ko</v>
      </c>
    </row>
    <row r="6" spans="1:42" x14ac:dyDescent="0.35">
      <c r="A6" s="25">
        <v>1003</v>
      </c>
      <c r="B6" s="14">
        <v>45586</v>
      </c>
      <c r="C6" s="17">
        <v>45586</v>
      </c>
      <c r="D6" s="26" t="str">
        <f ca="1">IF(AND((B6=$A$3),($AN$1=$D$2)),"ok","ko")</f>
        <v>ko</v>
      </c>
      <c r="E6" s="27" t="str">
        <f ca="1">IF(AND((B6=$A$3),($AN$1&gt;$D$2)),"ok","ko")</f>
        <v>ko</v>
      </c>
      <c r="F6" s="27" t="str">
        <f ca="1">IF(AND((C6=$A$3),($AN$1=$D$2)),"ok","ko")</f>
        <v>ko</v>
      </c>
      <c r="G6" s="27" t="str">
        <f ca="1">IF(AND((C6=$A$3),($AN$1&gt;$D$2)),"ok","ko")</f>
        <v>ko</v>
      </c>
      <c r="H6" s="27">
        <v>1009</v>
      </c>
      <c r="I6" s="14">
        <v>45587</v>
      </c>
      <c r="J6" s="17">
        <v>45587</v>
      </c>
      <c r="K6" s="23" t="str">
        <f t="shared" ca="1" si="0"/>
        <v>ko</v>
      </c>
      <c r="L6" s="25" t="str">
        <f t="shared" ca="1" si="1"/>
        <v>ko</v>
      </c>
      <c r="M6" s="20" t="str">
        <f t="shared" ca="1" si="2"/>
        <v>ko</v>
      </c>
      <c r="N6" s="20" t="str">
        <f t="shared" ca="1" si="3"/>
        <v>ko</v>
      </c>
      <c r="O6" s="27">
        <v>1015</v>
      </c>
      <c r="P6" s="4">
        <v>45588</v>
      </c>
      <c r="Q6" s="7">
        <v>45588</v>
      </c>
      <c r="R6" s="26" t="str">
        <f t="shared" ca="1" si="4"/>
        <v>ko</v>
      </c>
      <c r="S6" s="27" t="str">
        <f t="shared" ca="1" si="5"/>
        <v>ko</v>
      </c>
      <c r="T6" s="27" t="str">
        <f t="shared" ca="1" si="6"/>
        <v>ko</v>
      </c>
      <c r="U6" s="27" t="str">
        <f t="shared" ca="1" si="7"/>
        <v>ko</v>
      </c>
      <c r="V6" s="27">
        <v>1021</v>
      </c>
      <c r="W6" s="4">
        <v>45589</v>
      </c>
      <c r="X6" s="4">
        <v>45589</v>
      </c>
      <c r="Y6" s="26" t="str">
        <f t="shared" ca="1" si="8"/>
        <v>ko</v>
      </c>
      <c r="Z6" s="27" t="str">
        <f t="shared" ca="1" si="9"/>
        <v>ko</v>
      </c>
      <c r="AA6" s="27" t="str">
        <f t="shared" ca="1" si="10"/>
        <v>ko</v>
      </c>
      <c r="AB6" s="27" t="str">
        <f t="shared" ca="1" si="11"/>
        <v>ko</v>
      </c>
      <c r="AC6" s="27">
        <v>1027</v>
      </c>
      <c r="AD6" s="4">
        <v>45590</v>
      </c>
      <c r="AE6" s="4">
        <v>45593</v>
      </c>
      <c r="AF6" s="26" t="str">
        <f t="shared" ca="1" si="12"/>
        <v>ko</v>
      </c>
      <c r="AG6" s="27" t="str">
        <f t="shared" ca="1" si="13"/>
        <v>ko</v>
      </c>
      <c r="AH6" s="27" t="str">
        <f t="shared" ca="1" si="14"/>
        <v>ko</v>
      </c>
      <c r="AI6" s="27" t="str">
        <f t="shared" ca="1" si="15"/>
        <v>ko</v>
      </c>
      <c r="AJ6" s="27">
        <v>1033</v>
      </c>
      <c r="AK6" s="5">
        <v>45591</v>
      </c>
      <c r="AL6" s="5">
        <v>45591</v>
      </c>
      <c r="AM6" s="24" t="str">
        <f ca="1">IF(AND((AK6=$A$3),($AN$1=AM$2)),"ok","ko")</f>
        <v>ko</v>
      </c>
      <c r="AN6" s="1" t="str">
        <f ca="1">IF(AND((AK6=$A$3),($AN$1&gt;AM$2)),"ok","ko")</f>
        <v>ko</v>
      </c>
      <c r="AO6" s="1" t="str">
        <f ca="1">IF(AND((AL6=$A$3),($AN$1=AM$2)),"ok","ko")</f>
        <v>ko</v>
      </c>
      <c r="AP6" s="1" t="str">
        <f ca="1">IF(AND((AL6=$A$3),($AN$1&gt;AM$2)),"ok","ko")</f>
        <v>ko</v>
      </c>
    </row>
    <row r="7" spans="1:42" x14ac:dyDescent="0.35">
      <c r="A7" s="25">
        <v>1004</v>
      </c>
      <c r="B7" s="4">
        <v>45587</v>
      </c>
      <c r="C7" s="17">
        <v>45588</v>
      </c>
      <c r="D7" s="26" t="str">
        <f ca="1">IF(AND((B7=$A$3),($AN$1=$D$2)),"ok","ko")</f>
        <v>ko</v>
      </c>
      <c r="E7" s="27" t="str">
        <f ca="1">IF(AND((B7=$A$3),($AN$1&gt;$D$2)),"ok","ko")</f>
        <v>ko</v>
      </c>
      <c r="F7" s="27" t="str">
        <f ca="1">IF(AND((C7=$A$3),($AN$1=$D$2)),"ok","ko")</f>
        <v>ko</v>
      </c>
      <c r="G7" s="27" t="str">
        <f ca="1">IF(AND((C7=$A$3),($AN$1&gt;$D$2)),"ok","ko")</f>
        <v>ko</v>
      </c>
      <c r="H7" s="27">
        <v>1010</v>
      </c>
      <c r="I7" s="4">
        <v>45587</v>
      </c>
      <c r="J7" s="17">
        <v>45587</v>
      </c>
      <c r="K7" s="23" t="str">
        <f t="shared" ca="1" si="0"/>
        <v>ko</v>
      </c>
      <c r="L7" s="25" t="str">
        <f t="shared" ca="1" si="1"/>
        <v>ko</v>
      </c>
      <c r="M7" s="20" t="str">
        <f t="shared" ca="1" si="2"/>
        <v>ko</v>
      </c>
      <c r="N7" s="20" t="str">
        <f t="shared" ca="1" si="3"/>
        <v>ko</v>
      </c>
      <c r="O7" s="27">
        <v>1016</v>
      </c>
      <c r="P7" s="4">
        <v>45589</v>
      </c>
      <c r="Q7" s="7">
        <v>45589</v>
      </c>
      <c r="R7" s="26" t="str">
        <f t="shared" ca="1" si="4"/>
        <v>ko</v>
      </c>
      <c r="S7" s="27" t="str">
        <f t="shared" ca="1" si="5"/>
        <v>ko</v>
      </c>
      <c r="T7" s="27" t="str">
        <f t="shared" ca="1" si="6"/>
        <v>ko</v>
      </c>
      <c r="U7" s="27" t="str">
        <f t="shared" ca="1" si="7"/>
        <v>ko</v>
      </c>
      <c r="V7" s="27">
        <v>1022</v>
      </c>
      <c r="W7" s="4">
        <v>45589</v>
      </c>
      <c r="X7" s="4">
        <v>45589</v>
      </c>
      <c r="Y7" s="26" t="str">
        <f t="shared" ca="1" si="8"/>
        <v>ko</v>
      </c>
      <c r="Z7" s="27" t="str">
        <f t="shared" ca="1" si="9"/>
        <v>ko</v>
      </c>
      <c r="AA7" s="27" t="str">
        <f t="shared" ca="1" si="10"/>
        <v>ko</v>
      </c>
      <c r="AB7" s="27" t="str">
        <f t="shared" ca="1" si="11"/>
        <v>ko</v>
      </c>
      <c r="AC7" s="27">
        <v>1028</v>
      </c>
      <c r="AD7" s="4">
        <v>45590</v>
      </c>
      <c r="AE7" s="4">
        <v>45593</v>
      </c>
      <c r="AF7" s="26" t="str">
        <f t="shared" ca="1" si="12"/>
        <v>ko</v>
      </c>
      <c r="AG7" s="27" t="str">
        <f t="shared" ca="1" si="13"/>
        <v>ko</v>
      </c>
      <c r="AH7" s="27" t="str">
        <f t="shared" ca="1" si="14"/>
        <v>ko</v>
      </c>
      <c r="AI7" s="27" t="str">
        <f t="shared" ca="1" si="15"/>
        <v>ko</v>
      </c>
      <c r="AJ7" s="27"/>
      <c r="AK7" s="29"/>
      <c r="AL7" s="29"/>
    </row>
    <row r="8" spans="1:42" x14ac:dyDescent="0.35">
      <c r="A8" s="25">
        <v>1005</v>
      </c>
      <c r="B8" s="14">
        <v>45586</v>
      </c>
      <c r="C8" s="14">
        <v>45586</v>
      </c>
      <c r="D8" s="26" t="str">
        <f ca="1">IF(AND((B8=$A$3),($AN$1=$D$2)),"ok","ko")</f>
        <v>ko</v>
      </c>
      <c r="E8" s="27" t="str">
        <f ca="1">IF(AND((B8=$A$3),($AN$1&gt;$D$2)),"ok","ko")</f>
        <v>ko</v>
      </c>
      <c r="F8" s="27" t="str">
        <f ca="1">IF(AND((C8=$A$3),($AN$1=$D$2)),"ok","ko")</f>
        <v>ko</v>
      </c>
      <c r="G8" s="27" t="str">
        <f ca="1">IF(AND((C8=$A$3),($AN$1&gt;$D$2)),"ok","ko")</f>
        <v>ko</v>
      </c>
      <c r="H8" s="27">
        <v>1011</v>
      </c>
      <c r="I8" s="14">
        <v>45588</v>
      </c>
      <c r="J8" s="14">
        <v>45588</v>
      </c>
      <c r="K8" s="23" t="str">
        <f t="shared" ca="1" si="0"/>
        <v>ko</v>
      </c>
      <c r="L8" s="25" t="str">
        <f t="shared" ca="1" si="1"/>
        <v>ko</v>
      </c>
      <c r="M8" s="20" t="str">
        <f t="shared" ca="1" si="2"/>
        <v>ko</v>
      </c>
      <c r="N8" s="20" t="str">
        <f t="shared" ca="1" si="3"/>
        <v>ko</v>
      </c>
      <c r="O8" s="27">
        <v>1017</v>
      </c>
      <c r="P8" s="4">
        <v>45589</v>
      </c>
      <c r="Q8" s="7">
        <v>45588</v>
      </c>
      <c r="R8" s="26" t="str">
        <f t="shared" ca="1" si="4"/>
        <v>ko</v>
      </c>
      <c r="S8" s="27" t="str">
        <f t="shared" ca="1" si="5"/>
        <v>ko</v>
      </c>
      <c r="T8" s="27" t="str">
        <f t="shared" ca="1" si="6"/>
        <v>ko</v>
      </c>
      <c r="U8" s="27" t="str">
        <f t="shared" ca="1" si="7"/>
        <v>ko</v>
      </c>
      <c r="V8" s="27">
        <v>1023</v>
      </c>
      <c r="W8" s="4">
        <v>45589</v>
      </c>
      <c r="X8" s="4">
        <v>45589</v>
      </c>
      <c r="Y8" s="26" t="str">
        <f t="shared" ca="1" si="8"/>
        <v>ko</v>
      </c>
      <c r="Z8" s="27" t="str">
        <f t="shared" ca="1" si="9"/>
        <v>ko</v>
      </c>
      <c r="AA8" s="27" t="str">
        <f t="shared" ca="1" si="10"/>
        <v>ko</v>
      </c>
      <c r="AB8" s="27" t="str">
        <f t="shared" ca="1" si="11"/>
        <v>ko</v>
      </c>
      <c r="AC8" s="27">
        <v>1029</v>
      </c>
      <c r="AD8" s="4">
        <v>45593</v>
      </c>
      <c r="AE8" s="4">
        <v>45590</v>
      </c>
      <c r="AF8" s="26" t="str">
        <f t="shared" ca="1" si="12"/>
        <v>ko</v>
      </c>
      <c r="AG8" s="27" t="str">
        <f t="shared" ca="1" si="13"/>
        <v>ko</v>
      </c>
      <c r="AH8" s="27" t="str">
        <f t="shared" ca="1" si="14"/>
        <v>ko</v>
      </c>
      <c r="AI8" s="27" t="str">
        <f t="shared" ca="1" si="15"/>
        <v>ko</v>
      </c>
      <c r="AJ8" s="27"/>
      <c r="AK8" s="26"/>
      <c r="AL8" s="26"/>
    </row>
    <row r="9" spans="1:42" x14ac:dyDescent="0.35">
      <c r="A9" s="30">
        <v>1006</v>
      </c>
      <c r="B9" s="15" t="s">
        <v>8</v>
      </c>
      <c r="C9" s="15" t="s">
        <v>8</v>
      </c>
      <c r="D9" s="31" t="str">
        <f ca="1">IF(AND((B9=$A$3),($AN$1=$D$2)),"ok","ko")</f>
        <v>ko</v>
      </c>
      <c r="E9" s="32" t="str">
        <f ca="1">IF(AND((B9=$A$3),($AN$1&gt;$D$2)),"ok","ko")</f>
        <v>ko</v>
      </c>
      <c r="F9" s="32" t="str">
        <f ca="1">IF(AND((C9=$A$3),($AN$1=$D$2)),"ok","ko")</f>
        <v>ko</v>
      </c>
      <c r="G9" s="32" t="str">
        <f ca="1">IF(AND((C9=$A$3),($AN$1&gt;$D$2)),"ok","ko")</f>
        <v>ko</v>
      </c>
      <c r="H9" s="32">
        <v>1012</v>
      </c>
      <c r="I9" s="15">
        <v>45587</v>
      </c>
      <c r="J9" s="15">
        <v>45587</v>
      </c>
      <c r="K9" s="23" t="str">
        <f t="shared" ca="1" si="0"/>
        <v>ko</v>
      </c>
      <c r="L9" s="25" t="str">
        <f t="shared" ca="1" si="1"/>
        <v>ko</v>
      </c>
      <c r="M9" s="20" t="str">
        <f t="shared" ca="1" si="2"/>
        <v>ko</v>
      </c>
      <c r="N9" s="20" t="str">
        <f t="shared" ca="1" si="3"/>
        <v>ko</v>
      </c>
      <c r="O9" s="32">
        <v>1018</v>
      </c>
      <c r="P9" s="5">
        <v>45588</v>
      </c>
      <c r="Q9" s="15">
        <v>45314</v>
      </c>
      <c r="R9" s="31" t="str">
        <f t="shared" ca="1" si="4"/>
        <v>ko</v>
      </c>
      <c r="S9" s="32" t="str">
        <f t="shared" ca="1" si="5"/>
        <v>ko</v>
      </c>
      <c r="T9" s="32" t="str">
        <f t="shared" ca="1" si="6"/>
        <v>ko</v>
      </c>
      <c r="U9" s="32" t="str">
        <f t="shared" ca="1" si="7"/>
        <v>ko</v>
      </c>
      <c r="V9" s="32">
        <v>1024</v>
      </c>
      <c r="W9" s="11">
        <v>45589</v>
      </c>
      <c r="X9" s="16">
        <v>45589</v>
      </c>
      <c r="Y9" s="31" t="str">
        <f t="shared" ca="1" si="8"/>
        <v>ko</v>
      </c>
      <c r="Z9" s="32" t="str">
        <f t="shared" ca="1" si="9"/>
        <v>ko</v>
      </c>
      <c r="AA9" s="32" t="str">
        <f t="shared" ca="1" si="10"/>
        <v>ko</v>
      </c>
      <c r="AB9" s="32" t="str">
        <f t="shared" ca="1" si="11"/>
        <v>ko</v>
      </c>
      <c r="AC9" s="32">
        <v>1030</v>
      </c>
      <c r="AD9" s="5">
        <v>45591</v>
      </c>
      <c r="AE9" s="5">
        <v>45590</v>
      </c>
      <c r="AF9" s="31" t="str">
        <f t="shared" ca="1" si="12"/>
        <v>ko</v>
      </c>
      <c r="AG9" s="32" t="str">
        <f t="shared" ca="1" si="13"/>
        <v>ko</v>
      </c>
      <c r="AH9" s="32" t="str">
        <f t="shared" ca="1" si="14"/>
        <v>ko</v>
      </c>
      <c r="AI9" s="32" t="str">
        <f t="shared" ca="1" si="15"/>
        <v>ko</v>
      </c>
      <c r="AJ9" s="32"/>
      <c r="AK9" s="31"/>
      <c r="AL9" s="31"/>
    </row>
    <row r="10" spans="1:42" x14ac:dyDescent="0.35">
      <c r="O10" s="34"/>
      <c r="X10" s="35"/>
      <c r="AD10" s="24"/>
    </row>
    <row r="11" spans="1:42" x14ac:dyDescent="0.35">
      <c r="AJ11" s="1" t="s">
        <v>9</v>
      </c>
    </row>
    <row r="12" spans="1:42" x14ac:dyDescent="0.35">
      <c r="B12" s="44" t="s">
        <v>0</v>
      </c>
      <c r="C12" s="44"/>
      <c r="I12" s="44" t="s">
        <v>1</v>
      </c>
      <c r="J12" s="44"/>
      <c r="P12" s="44" t="s">
        <v>2</v>
      </c>
      <c r="Q12" s="44"/>
      <c r="W12" s="44" t="s">
        <v>3</v>
      </c>
      <c r="X12" s="44"/>
      <c r="AD12" s="44" t="s">
        <v>4</v>
      </c>
      <c r="AE12" s="44"/>
      <c r="AK12" s="45" t="s">
        <v>5</v>
      </c>
      <c r="AL12" s="45"/>
    </row>
    <row r="13" spans="1:42" x14ac:dyDescent="0.35">
      <c r="A13" s="24"/>
      <c r="B13" s="43">
        <f>AK2+2</f>
        <v>45593</v>
      </c>
      <c r="C13" s="43"/>
      <c r="D13" s="18">
        <f>B13+1</f>
        <v>45594</v>
      </c>
      <c r="I13" s="43">
        <f>B13+1</f>
        <v>45594</v>
      </c>
      <c r="J13" s="43"/>
      <c r="K13" s="18">
        <f>I13+1</f>
        <v>45595</v>
      </c>
      <c r="L13" s="18"/>
      <c r="M13" s="18"/>
      <c r="N13" s="18"/>
      <c r="O13" s="18"/>
      <c r="P13" s="43">
        <f>I13+1</f>
        <v>45595</v>
      </c>
      <c r="Q13" s="43"/>
      <c r="R13" s="18">
        <f>P13+1</f>
        <v>45596</v>
      </c>
      <c r="S13" s="18"/>
      <c r="T13" s="18"/>
      <c r="U13" s="18"/>
      <c r="V13" s="18"/>
      <c r="W13" s="43">
        <f>P13+1</f>
        <v>45596</v>
      </c>
      <c r="X13" s="43"/>
      <c r="Y13" s="18">
        <f>W13+1</f>
        <v>45597</v>
      </c>
      <c r="Z13" s="18"/>
      <c r="AA13" s="18"/>
      <c r="AB13" s="18"/>
      <c r="AC13" s="18"/>
      <c r="AD13" s="43">
        <f>W13+1</f>
        <v>45597</v>
      </c>
      <c r="AE13" s="43"/>
      <c r="AF13" s="18">
        <f>AD13+1</f>
        <v>45598</v>
      </c>
      <c r="AG13" s="18"/>
      <c r="AH13" s="18"/>
      <c r="AI13" s="18"/>
      <c r="AK13" s="43">
        <f>AD13+1</f>
        <v>45598</v>
      </c>
      <c r="AL13" s="44"/>
      <c r="AM13" s="18">
        <f>AK13+1</f>
        <v>45599</v>
      </c>
    </row>
    <row r="14" spans="1:42" x14ac:dyDescent="0.35">
      <c r="B14" s="1" t="s">
        <v>6</v>
      </c>
      <c r="C14" s="1" t="s">
        <v>7</v>
      </c>
      <c r="I14" s="1" t="s">
        <v>6</v>
      </c>
      <c r="J14" s="1" t="s">
        <v>7</v>
      </c>
      <c r="P14" s="1" t="s">
        <v>6</v>
      </c>
      <c r="Q14" s="1" t="s">
        <v>7</v>
      </c>
      <c r="W14" s="1" t="s">
        <v>6</v>
      </c>
      <c r="X14" s="1" t="s">
        <v>7</v>
      </c>
      <c r="AD14" s="1" t="s">
        <v>6</v>
      </c>
      <c r="AE14" s="1" t="s">
        <v>7</v>
      </c>
      <c r="AK14" s="1" t="s">
        <v>6</v>
      </c>
      <c r="AL14" s="1" t="s">
        <v>7</v>
      </c>
    </row>
    <row r="15" spans="1:42" x14ac:dyDescent="0.35">
      <c r="A15" s="20">
        <v>1001</v>
      </c>
      <c r="B15" s="3">
        <v>45593</v>
      </c>
      <c r="C15" s="3">
        <v>45593</v>
      </c>
      <c r="D15" s="23" t="str">
        <f t="shared" ref="D15:D20" ca="1" si="16">IF(AND((B15=$A$3),($AN$1=$D$13)),"ok","ko")</f>
        <v>ko</v>
      </c>
      <c r="E15" s="20" t="str">
        <f t="shared" ref="E15:E20" ca="1" si="17">IF(AND((B15=$A$3),($AN$1&gt;$D$13)),"ok","ko")</f>
        <v>ko</v>
      </c>
      <c r="F15" s="20" t="str">
        <f t="shared" ref="F15:F20" ca="1" si="18">IF(AND((C15=$A$3),($AN$1=$D$13)),"ok","ko")</f>
        <v>ko</v>
      </c>
      <c r="G15" s="20" t="str">
        <f t="shared" ref="G15:G20" ca="1" si="19">IF(AND((C15=$A$3),($AN$1&gt;$D$13)),"ok","ko")</f>
        <v>ko</v>
      </c>
      <c r="H15" s="20">
        <v>1007</v>
      </c>
      <c r="I15" s="3">
        <v>45594</v>
      </c>
      <c r="J15" s="3">
        <v>45594</v>
      </c>
      <c r="K15" s="23" t="str">
        <f t="shared" ref="K15:K20" ca="1" si="20">IF(AND((I15=$A$3),($AN$1=$K$13)),"ok","ko")</f>
        <v>ko</v>
      </c>
      <c r="L15" s="20" t="str">
        <f t="shared" ref="L15:L20" ca="1" si="21">IF(AND((I15=$A$3),($AN$1&gt;$K$13)),"ok","ko")</f>
        <v>ko</v>
      </c>
      <c r="M15" s="20" t="str">
        <f t="shared" ref="M15:M20" ca="1" si="22">IF(AND((J15=$A$3),($AN$1=$K$13)),"ok","ko")</f>
        <v>ko</v>
      </c>
      <c r="N15" s="20" t="str">
        <f t="shared" ref="N15:N20" ca="1" si="23">IF(AND((J15=$A$3),($AN$1&gt;$K$13)),"ok","ko")</f>
        <v>ko</v>
      </c>
      <c r="O15" s="20">
        <v>1013</v>
      </c>
      <c r="P15" s="3">
        <v>45596</v>
      </c>
      <c r="Q15" s="3">
        <v>45595</v>
      </c>
      <c r="R15" s="23" t="str">
        <f t="shared" ref="R15:R20" ca="1" si="24">IF(AND((P15=$A$3),($AN$1=$R$13)),"ok","ko")</f>
        <v>ko</v>
      </c>
      <c r="S15" s="20" t="str">
        <f t="shared" ref="S15:S20" ca="1" si="25">IF(AND((P15=$A$3),($AN$1&gt;$R$13)),"ok","ko")</f>
        <v>ko</v>
      </c>
      <c r="T15" s="20" t="str">
        <f t="shared" ref="T15:T20" ca="1" si="26">IF(AND((Q15=$A$3),($AN$1=$R$13)),"ok","ko")</f>
        <v>ko</v>
      </c>
      <c r="U15" s="20" t="str">
        <f t="shared" ref="U15:U20" ca="1" si="27">IF(AND((Q15=$A$3),($AN$1&gt;$R$13)),"ok","ko")</f>
        <v>ko</v>
      </c>
      <c r="V15" s="20">
        <v>1019</v>
      </c>
      <c r="W15" s="3">
        <v>45596</v>
      </c>
      <c r="X15" s="3">
        <v>45597</v>
      </c>
      <c r="Y15" s="23" t="str">
        <f t="shared" ref="Y15:Y20" ca="1" si="28">IF(AND((W15=$A$3),($AN$1=$Y$13)),"ok","ko")</f>
        <v>ko</v>
      </c>
      <c r="Z15" s="20" t="str">
        <f t="shared" ref="Z15:Z20" ca="1" si="29">IF(AND((W15=$A$3),($AN$1&gt;$Y$13)),"ok","ko")</f>
        <v>ko</v>
      </c>
      <c r="AA15" s="20" t="str">
        <f t="shared" ref="AA15:AA20" ca="1" si="30">IF(AND((X15=$A$3),($AN$1=$Y$13)),"ok","ko")</f>
        <v>ko</v>
      </c>
      <c r="AB15" s="20" t="str">
        <f t="shared" ref="AB15:AB20" ca="1" si="31">IF(AND((X15=$A$3),($AN$1&gt;$Y$13)),"ok","ko")</f>
        <v>ko</v>
      </c>
      <c r="AC15" s="20">
        <v>1025</v>
      </c>
      <c r="AD15" s="3">
        <v>45597</v>
      </c>
      <c r="AE15" s="3">
        <v>45597</v>
      </c>
      <c r="AF15" s="23" t="str">
        <f t="shared" ref="AF15:AF20" ca="1" si="32">IF(AND((AD15=$A$3),($AN$1=$AF$13)),"ok","ko")</f>
        <v>ko</v>
      </c>
      <c r="AG15" s="20" t="str">
        <f t="shared" ref="AG15:AG20" ca="1" si="33">IF(AND((AD15=$A$3),($AN$1&gt;$AF$13)),"ok","ko")</f>
        <v>ko</v>
      </c>
      <c r="AH15" s="20" t="str">
        <f t="shared" ref="AH15:AH20" ca="1" si="34">IF(AND((AE15=$A$3),($AN$1=$AF$13)),"ok","ko")</f>
        <v>ko</v>
      </c>
      <c r="AI15" s="20" t="str">
        <f t="shared" ref="AI15:AI20" ca="1" si="35">IF(AND((AE15=$A$3),($AN$1&gt;$AF$13)),"ok","ko")</f>
        <v>ko</v>
      </c>
      <c r="AJ15" s="20">
        <v>1031</v>
      </c>
      <c r="AK15" s="3">
        <v>45598</v>
      </c>
      <c r="AL15" s="3">
        <v>45598</v>
      </c>
      <c r="AM15" s="24" t="str">
        <f t="shared" ref="AM15:AM20" ca="1" si="36">IF(AND((AK15=$A$3),($AN$1=$AM$13)),"ok","ko")</f>
        <v>ko</v>
      </c>
      <c r="AN15" s="1" t="str">
        <f t="shared" ref="AN15:AN20" ca="1" si="37">IF(AND((AK15=$A$3),($AN$1&gt;$AM$13)),"ok","ko")</f>
        <v>ko</v>
      </c>
      <c r="AO15" s="1" t="str">
        <f t="shared" ref="AO15:AO20" ca="1" si="38">IF(AND((AL15=$A$3),($AN$1=$AM$13)),"ok","ko")</f>
        <v>ko</v>
      </c>
      <c r="AP15" s="1" t="str">
        <f t="shared" ref="AP15:AP20" ca="1" si="39">IF(AND((AL15=$A$3),($AN$1&gt;$AM$13)),"ok","ko")</f>
        <v>ko</v>
      </c>
    </row>
    <row r="16" spans="1:42" x14ac:dyDescent="0.35">
      <c r="A16" s="25">
        <v>1002</v>
      </c>
      <c r="B16" s="4">
        <v>45593</v>
      </c>
      <c r="C16" s="4">
        <v>45593</v>
      </c>
      <c r="D16" s="28" t="str">
        <f t="shared" ca="1" si="16"/>
        <v>ko</v>
      </c>
      <c r="E16" s="25" t="str">
        <f t="shared" ca="1" si="17"/>
        <v>ko</v>
      </c>
      <c r="F16" s="25" t="str">
        <f t="shared" ca="1" si="18"/>
        <v>ko</v>
      </c>
      <c r="G16" s="25" t="str">
        <f t="shared" ca="1" si="19"/>
        <v>ko</v>
      </c>
      <c r="H16" s="25">
        <v>1008</v>
      </c>
      <c r="I16" s="4">
        <v>45594</v>
      </c>
      <c r="J16" s="4">
        <v>45594</v>
      </c>
      <c r="K16" s="28" t="str">
        <f t="shared" ca="1" si="20"/>
        <v>ko</v>
      </c>
      <c r="L16" s="25" t="str">
        <f t="shared" ca="1" si="21"/>
        <v>ko</v>
      </c>
      <c r="M16" s="25" t="str">
        <f t="shared" ca="1" si="22"/>
        <v>ko</v>
      </c>
      <c r="N16" s="25" t="str">
        <f t="shared" ca="1" si="23"/>
        <v>ko</v>
      </c>
      <c r="O16" s="25">
        <v>1014</v>
      </c>
      <c r="P16" s="4">
        <v>45595</v>
      </c>
      <c r="Q16" s="4">
        <v>45595</v>
      </c>
      <c r="R16" s="28" t="str">
        <f t="shared" ca="1" si="24"/>
        <v>ko</v>
      </c>
      <c r="S16" s="25" t="str">
        <f t="shared" ca="1" si="25"/>
        <v>ko</v>
      </c>
      <c r="T16" s="25" t="str">
        <f t="shared" ca="1" si="26"/>
        <v>ko</v>
      </c>
      <c r="U16" s="25" t="str">
        <f t="shared" ca="1" si="27"/>
        <v>ko</v>
      </c>
      <c r="V16" s="25">
        <v>1020</v>
      </c>
      <c r="W16" s="4">
        <v>45597</v>
      </c>
      <c r="X16" s="4">
        <v>45596</v>
      </c>
      <c r="Y16" s="28" t="str">
        <f t="shared" ca="1" si="28"/>
        <v>ko</v>
      </c>
      <c r="Z16" s="25" t="str">
        <f t="shared" ca="1" si="29"/>
        <v>ko</v>
      </c>
      <c r="AA16" s="25" t="str">
        <f t="shared" ca="1" si="30"/>
        <v>ko</v>
      </c>
      <c r="AB16" s="25" t="str">
        <f t="shared" ca="1" si="31"/>
        <v>ko</v>
      </c>
      <c r="AC16" s="25">
        <v>1026</v>
      </c>
      <c r="AD16" s="4">
        <v>45597</v>
      </c>
      <c r="AE16" s="4">
        <v>45597</v>
      </c>
      <c r="AF16" s="23" t="str">
        <f t="shared" ca="1" si="32"/>
        <v>ko</v>
      </c>
      <c r="AG16" s="20" t="str">
        <f t="shared" ca="1" si="33"/>
        <v>ko</v>
      </c>
      <c r="AH16" s="20" t="str">
        <f t="shared" ca="1" si="34"/>
        <v>ko</v>
      </c>
      <c r="AI16" s="20" t="str">
        <f t="shared" ca="1" si="35"/>
        <v>ko</v>
      </c>
      <c r="AJ16" s="25">
        <v>1032</v>
      </c>
      <c r="AK16" s="4">
        <v>45598</v>
      </c>
      <c r="AL16" s="4">
        <v>45598</v>
      </c>
      <c r="AM16" s="24" t="str">
        <f t="shared" ca="1" si="36"/>
        <v>ko</v>
      </c>
      <c r="AN16" s="1" t="str">
        <f t="shared" ca="1" si="37"/>
        <v>ko</v>
      </c>
      <c r="AO16" s="1" t="str">
        <f t="shared" ca="1" si="38"/>
        <v>ko</v>
      </c>
      <c r="AP16" s="1" t="str">
        <f t="shared" ca="1" si="39"/>
        <v>ko</v>
      </c>
    </row>
    <row r="17" spans="1:51" x14ac:dyDescent="0.35">
      <c r="A17" s="25">
        <v>1003</v>
      </c>
      <c r="B17" s="4">
        <v>45593</v>
      </c>
      <c r="C17" s="4">
        <v>45593</v>
      </c>
      <c r="D17" s="28" t="str">
        <f t="shared" ca="1" si="16"/>
        <v>ko</v>
      </c>
      <c r="E17" s="25" t="str">
        <f t="shared" ca="1" si="17"/>
        <v>ko</v>
      </c>
      <c r="F17" s="25" t="str">
        <f t="shared" ca="1" si="18"/>
        <v>ko</v>
      </c>
      <c r="G17" s="25" t="str">
        <f t="shared" ca="1" si="19"/>
        <v>ko</v>
      </c>
      <c r="H17" s="25">
        <v>1009</v>
      </c>
      <c r="I17" s="4">
        <v>45594</v>
      </c>
      <c r="J17" s="4">
        <v>45594</v>
      </c>
      <c r="K17" s="28" t="str">
        <f t="shared" ca="1" si="20"/>
        <v>ko</v>
      </c>
      <c r="L17" s="25" t="str">
        <f t="shared" ca="1" si="21"/>
        <v>ko</v>
      </c>
      <c r="M17" s="25" t="str">
        <f t="shared" ca="1" si="22"/>
        <v>ko</v>
      </c>
      <c r="N17" s="25" t="str">
        <f t="shared" ca="1" si="23"/>
        <v>ko</v>
      </c>
      <c r="O17" s="25">
        <v>1015</v>
      </c>
      <c r="P17" s="4">
        <v>45595</v>
      </c>
      <c r="Q17" s="4">
        <v>45595</v>
      </c>
      <c r="R17" s="28" t="str">
        <f t="shared" ca="1" si="24"/>
        <v>ko</v>
      </c>
      <c r="S17" s="25" t="str">
        <f t="shared" ca="1" si="25"/>
        <v>ko</v>
      </c>
      <c r="T17" s="25" t="str">
        <f t="shared" ca="1" si="26"/>
        <v>ko</v>
      </c>
      <c r="U17" s="25" t="str">
        <f t="shared" ca="1" si="27"/>
        <v>ko</v>
      </c>
      <c r="V17" s="25">
        <v>1021</v>
      </c>
      <c r="W17" s="4">
        <v>45597</v>
      </c>
      <c r="X17" s="4">
        <v>45596</v>
      </c>
      <c r="Y17" s="36" t="str">
        <f ca="1">IF(AND((W17=$A$3),($AN$1=$Y$13)),"ok","ko")</f>
        <v>ko</v>
      </c>
      <c r="Z17" s="25" t="str">
        <f ca="1">IF(AND((W17=$A$3),($AN$1&gt;$Y$13)),"ok","ko")</f>
        <v>ko</v>
      </c>
      <c r="AA17" s="25" t="str">
        <f ca="1">IF(AND((X17=$A$3),($AN$1=$Y$13)),"ok","ko")</f>
        <v>ko</v>
      </c>
      <c r="AB17" s="25" t="str">
        <f ca="1">IF(AND((X17=$A$3),($AN$1&gt;$Y$13)),"ok","ko")</f>
        <v>ko</v>
      </c>
      <c r="AC17" s="25">
        <v>1027</v>
      </c>
      <c r="AD17" s="4">
        <v>45597</v>
      </c>
      <c r="AE17" s="4">
        <v>45597</v>
      </c>
      <c r="AF17" s="23" t="str">
        <f t="shared" ca="1" si="32"/>
        <v>ko</v>
      </c>
      <c r="AG17" s="20" t="str">
        <f t="shared" ca="1" si="33"/>
        <v>ko</v>
      </c>
      <c r="AH17" s="20" t="str">
        <f t="shared" ca="1" si="34"/>
        <v>ko</v>
      </c>
      <c r="AI17" s="20" t="str">
        <f t="shared" ca="1" si="35"/>
        <v>ko</v>
      </c>
      <c r="AJ17" s="25">
        <v>1033</v>
      </c>
      <c r="AK17" s="5">
        <v>45598</v>
      </c>
      <c r="AL17" s="5">
        <v>45598</v>
      </c>
      <c r="AM17" s="24" t="str">
        <f t="shared" ca="1" si="36"/>
        <v>ko</v>
      </c>
      <c r="AN17" s="1" t="str">
        <f t="shared" ca="1" si="37"/>
        <v>ko</v>
      </c>
      <c r="AO17" s="1" t="str">
        <f t="shared" ca="1" si="38"/>
        <v>ko</v>
      </c>
      <c r="AP17" s="1" t="str">
        <f t="shared" ca="1" si="39"/>
        <v>ko</v>
      </c>
      <c r="AQ17" s="1"/>
    </row>
    <row r="18" spans="1:51" x14ac:dyDescent="0.35">
      <c r="A18" s="25">
        <v>1004</v>
      </c>
      <c r="B18" s="4">
        <v>45593</v>
      </c>
      <c r="C18" s="4">
        <v>45593</v>
      </c>
      <c r="D18" s="28" t="str">
        <f t="shared" ca="1" si="16"/>
        <v>ko</v>
      </c>
      <c r="E18" s="25" t="str">
        <f t="shared" ca="1" si="17"/>
        <v>ko</v>
      </c>
      <c r="F18" s="25" t="str">
        <f t="shared" ca="1" si="18"/>
        <v>ko</v>
      </c>
      <c r="G18" s="25" t="str">
        <f t="shared" ca="1" si="19"/>
        <v>ko</v>
      </c>
      <c r="H18" s="25">
        <v>1010</v>
      </c>
      <c r="I18" s="4">
        <v>45595</v>
      </c>
      <c r="J18" s="4">
        <v>45595</v>
      </c>
      <c r="K18" s="28" t="str">
        <f t="shared" ca="1" si="20"/>
        <v>ko</v>
      </c>
      <c r="L18" s="25" t="str">
        <f t="shared" ca="1" si="21"/>
        <v>ko</v>
      </c>
      <c r="M18" s="25" t="str">
        <f t="shared" ca="1" si="22"/>
        <v>ko</v>
      </c>
      <c r="N18" s="25" t="str">
        <f t="shared" ca="1" si="23"/>
        <v>ko</v>
      </c>
      <c r="O18" s="25">
        <v>1016</v>
      </c>
      <c r="P18" s="4">
        <v>45595</v>
      </c>
      <c r="Q18" s="10">
        <v>45595</v>
      </c>
      <c r="R18" s="28" t="str">
        <f t="shared" ca="1" si="24"/>
        <v>ko</v>
      </c>
      <c r="S18" s="25" t="str">
        <f t="shared" ca="1" si="25"/>
        <v>ko</v>
      </c>
      <c r="T18" s="25" t="str">
        <f t="shared" ca="1" si="26"/>
        <v>ko</v>
      </c>
      <c r="U18" s="25" t="str">
        <f t="shared" ca="1" si="27"/>
        <v>ko</v>
      </c>
      <c r="V18" s="25">
        <v>1022</v>
      </c>
      <c r="W18" s="4">
        <v>45597</v>
      </c>
      <c r="X18" s="4">
        <v>45596</v>
      </c>
      <c r="Y18" s="28" t="str">
        <f t="shared" ca="1" si="28"/>
        <v>ko</v>
      </c>
      <c r="Z18" s="25" t="str">
        <f t="shared" ca="1" si="29"/>
        <v>ko</v>
      </c>
      <c r="AA18" s="25" t="str">
        <f t="shared" ca="1" si="30"/>
        <v>ko</v>
      </c>
      <c r="AB18" s="25" t="str">
        <f t="shared" ca="1" si="31"/>
        <v>ko</v>
      </c>
      <c r="AC18" s="25">
        <v>1028</v>
      </c>
      <c r="AD18" s="4">
        <v>45600</v>
      </c>
      <c r="AE18" s="4">
        <v>45600</v>
      </c>
      <c r="AF18" s="23" t="str">
        <f t="shared" ca="1" si="32"/>
        <v>ko</v>
      </c>
      <c r="AG18" s="20" t="str">
        <f t="shared" ca="1" si="33"/>
        <v>ko</v>
      </c>
      <c r="AH18" s="20" t="str">
        <f t="shared" ca="1" si="34"/>
        <v>ko</v>
      </c>
      <c r="AI18" s="20" t="str">
        <f t="shared" ca="1" si="35"/>
        <v>ko</v>
      </c>
      <c r="AJ18" s="25"/>
      <c r="AK18" s="29"/>
      <c r="AL18" s="29"/>
      <c r="AM18" s="24" t="str">
        <f t="shared" ca="1" si="36"/>
        <v>ko</v>
      </c>
      <c r="AN18" s="1" t="str">
        <f t="shared" ca="1" si="37"/>
        <v>ok</v>
      </c>
      <c r="AO18" s="1" t="str">
        <f t="shared" ca="1" si="38"/>
        <v>ko</v>
      </c>
      <c r="AP18" s="1" t="str">
        <f t="shared" ca="1" si="39"/>
        <v>ok</v>
      </c>
      <c r="AY18" s="2" t="s">
        <v>10</v>
      </c>
    </row>
    <row r="19" spans="1:51" x14ac:dyDescent="0.35">
      <c r="A19" s="25">
        <v>1005</v>
      </c>
      <c r="B19" s="4">
        <v>45594</v>
      </c>
      <c r="C19" s="4">
        <v>45593</v>
      </c>
      <c r="D19" s="28" t="str">
        <f t="shared" ca="1" si="16"/>
        <v>ko</v>
      </c>
      <c r="E19" s="25" t="str">
        <f t="shared" ca="1" si="17"/>
        <v>ko</v>
      </c>
      <c r="F19" s="25" t="str">
        <f t="shared" ca="1" si="18"/>
        <v>ko</v>
      </c>
      <c r="G19" s="25" t="str">
        <f t="shared" ca="1" si="19"/>
        <v>ko</v>
      </c>
      <c r="H19" s="25">
        <v>1011</v>
      </c>
      <c r="I19" s="4">
        <v>45594</v>
      </c>
      <c r="J19" s="4">
        <v>45595</v>
      </c>
      <c r="K19" s="28" t="str">
        <f t="shared" ca="1" si="20"/>
        <v>ko</v>
      </c>
      <c r="L19" s="25" t="str">
        <f t="shared" ca="1" si="21"/>
        <v>ko</v>
      </c>
      <c r="M19" s="25" t="str">
        <f t="shared" ca="1" si="22"/>
        <v>ko</v>
      </c>
      <c r="N19" s="25" t="str">
        <f t="shared" ca="1" si="23"/>
        <v>ko</v>
      </c>
      <c r="O19" s="25">
        <v>1017</v>
      </c>
      <c r="P19" s="4">
        <v>45595</v>
      </c>
      <c r="Q19" s="4">
        <v>45595</v>
      </c>
      <c r="R19" s="28" t="str">
        <f t="shared" ca="1" si="24"/>
        <v>ko</v>
      </c>
      <c r="S19" s="25" t="str">
        <f t="shared" ca="1" si="25"/>
        <v>ko</v>
      </c>
      <c r="T19" s="25" t="str">
        <f t="shared" ca="1" si="26"/>
        <v>ko</v>
      </c>
      <c r="U19" s="25" t="str">
        <f t="shared" ca="1" si="27"/>
        <v>ko</v>
      </c>
      <c r="V19" s="25">
        <v>1023</v>
      </c>
      <c r="W19" s="4">
        <v>45597</v>
      </c>
      <c r="X19" s="4">
        <v>45596</v>
      </c>
      <c r="Y19" s="28" t="str">
        <f t="shared" ca="1" si="28"/>
        <v>ko</v>
      </c>
      <c r="Z19" s="25" t="str">
        <f t="shared" ca="1" si="29"/>
        <v>ko</v>
      </c>
      <c r="AA19" s="25" t="str">
        <f t="shared" ca="1" si="30"/>
        <v>ko</v>
      </c>
      <c r="AB19" s="25" t="str">
        <f t="shared" ca="1" si="31"/>
        <v>ko</v>
      </c>
      <c r="AC19" s="25">
        <v>1029</v>
      </c>
      <c r="AD19" s="4">
        <v>45597</v>
      </c>
      <c r="AE19" s="4">
        <v>45597</v>
      </c>
      <c r="AF19" s="23" t="str">
        <f t="shared" ca="1" si="32"/>
        <v>ko</v>
      </c>
      <c r="AG19" s="20" t="str">
        <f t="shared" ca="1" si="33"/>
        <v>ko</v>
      </c>
      <c r="AH19" s="20" t="str">
        <f t="shared" ca="1" si="34"/>
        <v>ko</v>
      </c>
      <c r="AI19" s="20" t="str">
        <f t="shared" ca="1" si="35"/>
        <v>ko</v>
      </c>
      <c r="AJ19" s="25"/>
      <c r="AK19" s="26"/>
      <c r="AL19" s="26"/>
      <c r="AM19" s="24" t="str">
        <f t="shared" ca="1" si="36"/>
        <v>ko</v>
      </c>
      <c r="AN19" s="1" t="str">
        <f t="shared" ca="1" si="37"/>
        <v>ok</v>
      </c>
      <c r="AO19" s="1" t="str">
        <f t="shared" ca="1" si="38"/>
        <v>ko</v>
      </c>
      <c r="AP19" s="1" t="str">
        <f t="shared" ca="1" si="39"/>
        <v>ok</v>
      </c>
      <c r="AR19" s="2" t="s">
        <v>9</v>
      </c>
    </row>
    <row r="20" spans="1:51" x14ac:dyDescent="0.35">
      <c r="A20" s="30">
        <v>1006</v>
      </c>
      <c r="B20" s="5" t="s">
        <v>8</v>
      </c>
      <c r="C20" s="5" t="s">
        <v>8</v>
      </c>
      <c r="D20" s="33" t="str">
        <f t="shared" ca="1" si="16"/>
        <v>ko</v>
      </c>
      <c r="E20" s="30" t="str">
        <f t="shared" ca="1" si="17"/>
        <v>ko</v>
      </c>
      <c r="F20" s="30" t="str">
        <f t="shared" ca="1" si="18"/>
        <v>ko</v>
      </c>
      <c r="G20" s="30" t="str">
        <f t="shared" ca="1" si="19"/>
        <v>ko</v>
      </c>
      <c r="H20" s="30">
        <v>1012</v>
      </c>
      <c r="I20" s="5">
        <v>45594</v>
      </c>
      <c r="J20" s="5">
        <v>45594</v>
      </c>
      <c r="K20" s="33" t="str">
        <f t="shared" ca="1" si="20"/>
        <v>ko</v>
      </c>
      <c r="L20" s="30" t="str">
        <f t="shared" ca="1" si="21"/>
        <v>ko</v>
      </c>
      <c r="M20" s="30" t="str">
        <f t="shared" ca="1" si="22"/>
        <v>ko</v>
      </c>
      <c r="N20" s="30" t="str">
        <f t="shared" ca="1" si="23"/>
        <v>ko</v>
      </c>
      <c r="O20" s="30">
        <v>1018</v>
      </c>
      <c r="P20" s="5">
        <v>45595</v>
      </c>
      <c r="Q20" s="5">
        <v>45595</v>
      </c>
      <c r="R20" s="33" t="str">
        <f t="shared" ca="1" si="24"/>
        <v>ko</v>
      </c>
      <c r="S20" s="30" t="str">
        <f t="shared" ca="1" si="25"/>
        <v>ko</v>
      </c>
      <c r="T20" s="30" t="str">
        <f t="shared" ca="1" si="26"/>
        <v>ko</v>
      </c>
      <c r="U20" s="30" t="str">
        <f t="shared" ca="1" si="27"/>
        <v>ko</v>
      </c>
      <c r="V20" s="30">
        <v>1024</v>
      </c>
      <c r="W20" s="5">
        <v>45596</v>
      </c>
      <c r="X20" s="5">
        <v>45597</v>
      </c>
      <c r="Y20" s="33" t="str">
        <f t="shared" ca="1" si="28"/>
        <v>ko</v>
      </c>
      <c r="Z20" s="30" t="str">
        <f t="shared" ca="1" si="29"/>
        <v>ko</v>
      </c>
      <c r="AA20" s="30" t="str">
        <f t="shared" ca="1" si="30"/>
        <v>ko</v>
      </c>
      <c r="AB20" s="30" t="str">
        <f t="shared" ca="1" si="31"/>
        <v>ko</v>
      </c>
      <c r="AC20" s="30">
        <v>1030</v>
      </c>
      <c r="AD20" s="5">
        <v>45600</v>
      </c>
      <c r="AE20" s="5">
        <v>45600</v>
      </c>
      <c r="AF20" s="23" t="str">
        <f t="shared" ca="1" si="32"/>
        <v>ko</v>
      </c>
      <c r="AG20" s="20" t="str">
        <f t="shared" ca="1" si="33"/>
        <v>ko</v>
      </c>
      <c r="AH20" s="20" t="str">
        <f t="shared" ca="1" si="34"/>
        <v>ko</v>
      </c>
      <c r="AI20" s="20" t="str">
        <f t="shared" ca="1" si="35"/>
        <v>ko</v>
      </c>
      <c r="AJ20" s="30"/>
      <c r="AK20" s="31"/>
      <c r="AL20" s="31"/>
      <c r="AM20" s="24" t="str">
        <f t="shared" ca="1" si="36"/>
        <v>ko</v>
      </c>
      <c r="AN20" s="1" t="str">
        <f t="shared" ca="1" si="37"/>
        <v>ok</v>
      </c>
      <c r="AO20" s="1" t="str">
        <f t="shared" ca="1" si="38"/>
        <v>ko</v>
      </c>
      <c r="AP20" s="1" t="str">
        <f t="shared" ca="1" si="39"/>
        <v>ok</v>
      </c>
    </row>
    <row r="22" spans="1:51" x14ac:dyDescent="0.35">
      <c r="AE22" s="1" t="s">
        <v>9</v>
      </c>
      <c r="AK22" s="1" t="s">
        <v>9</v>
      </c>
    </row>
    <row r="23" spans="1:51" ht="15" customHeight="1" x14ac:dyDescent="0.35">
      <c r="B23" s="44" t="s">
        <v>0</v>
      </c>
      <c r="C23" s="44"/>
      <c r="I23" s="44" t="s">
        <v>1</v>
      </c>
      <c r="J23" s="44"/>
      <c r="O23" s="1" t="s">
        <v>9</v>
      </c>
      <c r="P23" s="44" t="s">
        <v>2</v>
      </c>
      <c r="Q23" s="44"/>
      <c r="W23" s="44" t="s">
        <v>3</v>
      </c>
      <c r="X23" s="44"/>
      <c r="AD23" s="44" t="s">
        <v>4</v>
      </c>
      <c r="AE23" s="44"/>
      <c r="AK23" s="45" t="s">
        <v>5</v>
      </c>
      <c r="AL23" s="45"/>
    </row>
    <row r="24" spans="1:51" x14ac:dyDescent="0.35">
      <c r="B24" s="43">
        <f>AK13+2</f>
        <v>45600</v>
      </c>
      <c r="C24" s="43"/>
      <c r="D24" s="18">
        <f>B24+1</f>
        <v>45601</v>
      </c>
      <c r="I24" s="43">
        <f>B24+1</f>
        <v>45601</v>
      </c>
      <c r="J24" s="43"/>
      <c r="K24" s="18">
        <f>I24+1</f>
        <v>45602</v>
      </c>
      <c r="L24" s="18"/>
      <c r="M24" s="18"/>
      <c r="N24" s="18"/>
      <c r="O24" s="18"/>
      <c r="P24" s="43">
        <f>I24+1</f>
        <v>45602</v>
      </c>
      <c r="Q24" s="43"/>
      <c r="R24" s="18">
        <f>P24+1</f>
        <v>45603</v>
      </c>
      <c r="S24" s="18"/>
      <c r="T24" s="18"/>
      <c r="U24" s="18"/>
      <c r="V24" s="18"/>
      <c r="W24" s="43">
        <f>P24+1</f>
        <v>45603</v>
      </c>
      <c r="X24" s="43"/>
      <c r="Y24" s="18">
        <f>W24+1</f>
        <v>45604</v>
      </c>
      <c r="Z24" s="18"/>
      <c r="AA24" s="18"/>
      <c r="AB24" s="18"/>
      <c r="AC24" s="18"/>
      <c r="AD24" s="43">
        <f>W24+1</f>
        <v>45604</v>
      </c>
      <c r="AE24" s="43"/>
      <c r="AF24" s="18">
        <f>AD24+1</f>
        <v>45605</v>
      </c>
      <c r="AG24" s="18"/>
      <c r="AH24" s="18"/>
      <c r="AI24" s="18"/>
      <c r="AK24" s="43">
        <f>AD24+1</f>
        <v>45605</v>
      </c>
      <c r="AL24" s="43"/>
      <c r="AM24" s="18">
        <f>AK24+1</f>
        <v>45606</v>
      </c>
    </row>
    <row r="25" spans="1:51" x14ac:dyDescent="0.35">
      <c r="B25" s="1" t="s">
        <v>6</v>
      </c>
      <c r="C25" s="1" t="s">
        <v>7</v>
      </c>
      <c r="I25" s="1" t="s">
        <v>6</v>
      </c>
      <c r="J25" s="1" t="s">
        <v>7</v>
      </c>
      <c r="P25" s="1" t="s">
        <v>6</v>
      </c>
      <c r="Q25" s="1" t="s">
        <v>7</v>
      </c>
      <c r="W25" s="1" t="s">
        <v>6</v>
      </c>
      <c r="X25" s="1" t="s">
        <v>7</v>
      </c>
      <c r="AD25" s="1" t="s">
        <v>6</v>
      </c>
      <c r="AE25" s="1" t="s">
        <v>7</v>
      </c>
      <c r="AK25" s="1" t="s">
        <v>6</v>
      </c>
      <c r="AL25" s="1" t="s">
        <v>7</v>
      </c>
    </row>
    <row r="26" spans="1:51" x14ac:dyDescent="0.35">
      <c r="A26" s="20">
        <v>1001</v>
      </c>
      <c r="B26" s="3">
        <v>45601</v>
      </c>
      <c r="C26" s="3">
        <v>45600</v>
      </c>
      <c r="D26" s="23" t="str">
        <f t="shared" ref="D26:D31" ca="1" si="40">IF(AND((B26=$A$3),($AN$1=$D$24)),"ok","ko")</f>
        <v>ko</v>
      </c>
      <c r="E26" s="20" t="str">
        <f t="shared" ref="E26:E31" ca="1" si="41">IF(AND((B26=$A$3),($AN$1&gt;$D$24)),"ok","ko")</f>
        <v>ko</v>
      </c>
      <c r="F26" s="20" t="str">
        <f t="shared" ref="F26:F31" ca="1" si="42">IF(AND((C26=$A$3),($AN$1=$D$24)),"ok","ko")</f>
        <v>ko</v>
      </c>
      <c r="G26" s="20" t="str">
        <f t="shared" ref="G26:G31" ca="1" si="43">IF(AND((C26=$A$3),($AN$1&gt;$D$24)),"ok","ko")</f>
        <v>ko</v>
      </c>
      <c r="H26" s="20">
        <v>1007</v>
      </c>
      <c r="I26" s="3">
        <v>45601</v>
      </c>
      <c r="J26" s="3">
        <v>45601</v>
      </c>
      <c r="K26" s="23" t="str">
        <f t="shared" ref="K26:K31" ca="1" si="44">IF(AND((I26=$A$3),($AN$1=$K$24)),"ok","ko")</f>
        <v>ko</v>
      </c>
      <c r="L26" s="20" t="str">
        <f t="shared" ref="L26:L31" ca="1" si="45">IF(AND((I26=$A$3),($AN$1&gt;$K$24)),"ok","ko")</f>
        <v>ko</v>
      </c>
      <c r="M26" s="20" t="str">
        <f t="shared" ref="M26:M31" ca="1" si="46">IF(AND((J26=$A$3),($AN$1=$K$24)),"ok","ko")</f>
        <v>ko</v>
      </c>
      <c r="N26" s="20" t="str">
        <f t="shared" ref="N26:N31" ca="1" si="47">IF(AND((J26=$A$3),($AN$1&gt;$K$24)),"ok","ko")</f>
        <v>ko</v>
      </c>
      <c r="O26" s="20">
        <v>1013</v>
      </c>
      <c r="P26" s="3">
        <v>45603</v>
      </c>
      <c r="Q26" s="3"/>
      <c r="R26" s="23" t="str">
        <f t="shared" ref="R26:R31" ca="1" si="48">IF(AND((P26=$A$3),($AN$1=$R$24)),"ok","ko")</f>
        <v>ko</v>
      </c>
      <c r="S26" s="20" t="str">
        <f t="shared" ref="S26:S31" ca="1" si="49">IF(AND((P26=$A$3),($AN$1&gt;$R$24)),"ok","ko")</f>
        <v>ko</v>
      </c>
      <c r="T26" s="20" t="str">
        <f t="shared" ref="T26:T31" ca="1" si="50">IF(AND((Q26=$A$3),($AN$1=$R$24)),"ok","ko")</f>
        <v>ko</v>
      </c>
      <c r="U26" s="20" t="str">
        <f t="shared" ref="U26:U31" ca="1" si="51">IF(AND((Q26=$A$3),($AN$1&gt;$R$24)),"ok","ko")</f>
        <v>ok</v>
      </c>
      <c r="V26" s="20">
        <v>1019</v>
      </c>
      <c r="W26" s="3">
        <v>45603</v>
      </c>
      <c r="X26" s="3">
        <v>45603</v>
      </c>
      <c r="Y26" s="23" t="str">
        <f t="shared" ref="Y26:Y31" ca="1" si="52">IF(AND((W26=$A$3),($AN$1=$Y$24)),"ok","ko")</f>
        <v>ko</v>
      </c>
      <c r="Z26" s="20" t="str">
        <f t="shared" ref="Z26:Z31" ca="1" si="53">IF(AND((W26=$A$3),($AN$1&gt;$Y$24)),"ok","ko")</f>
        <v>ko</v>
      </c>
      <c r="AA26" s="20" t="str">
        <f t="shared" ref="AA26:AA31" ca="1" si="54">IF(AND((X26=$A$3),($AN$1=$Y$24)),"ok","ko")</f>
        <v>ko</v>
      </c>
      <c r="AB26" s="20" t="str">
        <f t="shared" ref="AB26:AB31" ca="1" si="55">IF(AND((X26=$A$3),($AN$1&gt;$Y$24)),"ok","ko")</f>
        <v>ko</v>
      </c>
      <c r="AC26" s="20">
        <v>1025</v>
      </c>
      <c r="AD26" s="3">
        <v>45604</v>
      </c>
      <c r="AE26" s="3"/>
      <c r="AF26" s="23" t="str">
        <f t="shared" ref="AF26:AF31" ca="1" si="56">IF(AND((AD26=$A$3),($AN$1=$AF$24)),"ok","ko")</f>
        <v>ko</v>
      </c>
      <c r="AG26" s="20" t="str">
        <f t="shared" ref="AG26:AG31" ca="1" si="57">IF(AND((AD26=$A$3),($AN$1&gt;$AF$24)),"ok","ko")</f>
        <v>ko</v>
      </c>
      <c r="AH26" s="20" t="str">
        <f t="shared" ref="AH26:AH31" ca="1" si="58">IF(AND((AE26=$A$3),($AN$1=$AF$24)),"ok","ko")</f>
        <v>ko</v>
      </c>
      <c r="AI26" s="20" t="str">
        <f t="shared" ref="AI26:AI31" ca="1" si="59">IF(AND((AE26=$A$3),($AN$1&gt;$AF$24)),"ok","ko")</f>
        <v>ok</v>
      </c>
      <c r="AJ26" s="20">
        <v>1031</v>
      </c>
      <c r="AK26" s="3"/>
      <c r="AL26" s="13"/>
      <c r="AM26" s="24" t="str">
        <f ca="1">IF(AND((AK26=$A$3),($AN$1=$AM$24)),"ok","ko")</f>
        <v>ko</v>
      </c>
      <c r="AN26" s="1" t="str">
        <f ca="1">IF(AND((AK26=$A$3),($AN$1&gt;$AM$24)),"ok","ko")</f>
        <v>ok</v>
      </c>
      <c r="AO26" s="1" t="str">
        <f ca="1">IF(AND((AL26=$A$3),($AN$1=$AM$24)),"ok","ko")</f>
        <v>ko</v>
      </c>
      <c r="AP26" s="1" t="str">
        <f ca="1">IF(AND((AL26=$A$3),($AN$1&gt;$AM$24)),"ok","ko")</f>
        <v>ok</v>
      </c>
    </row>
    <row r="27" spans="1:51" x14ac:dyDescent="0.35">
      <c r="A27" s="25">
        <v>1002</v>
      </c>
      <c r="B27" s="4"/>
      <c r="C27" s="4"/>
      <c r="D27" s="28" t="str">
        <f t="shared" ca="1" si="40"/>
        <v>ko</v>
      </c>
      <c r="E27" s="25" t="str">
        <f t="shared" ca="1" si="41"/>
        <v>ok</v>
      </c>
      <c r="F27" s="25" t="str">
        <f t="shared" ca="1" si="42"/>
        <v>ko</v>
      </c>
      <c r="G27" s="25" t="str">
        <f t="shared" ca="1" si="43"/>
        <v>ok</v>
      </c>
      <c r="H27" s="25">
        <v>1008</v>
      </c>
      <c r="I27" s="4">
        <v>45602</v>
      </c>
      <c r="J27" s="4">
        <v>45601</v>
      </c>
      <c r="K27" s="28" t="str">
        <f t="shared" ca="1" si="44"/>
        <v>ko</v>
      </c>
      <c r="L27" s="25" t="str">
        <f t="shared" ca="1" si="45"/>
        <v>ko</v>
      </c>
      <c r="M27" s="25" t="str">
        <f ca="1">IF(AND((J27=$A$3),($AN$1=$K$24)),"ok","ko")</f>
        <v>ko</v>
      </c>
      <c r="N27" s="25" t="str">
        <f ca="1">IF(AND((J27=$A$3),($AN$1&gt;$K$24)),"ok","ko")</f>
        <v>ko</v>
      </c>
      <c r="O27" s="25">
        <v>1014</v>
      </c>
      <c r="P27" s="4">
        <v>45602</v>
      </c>
      <c r="Q27" s="4">
        <v>45602</v>
      </c>
      <c r="R27" s="28" t="str">
        <f t="shared" ca="1" si="48"/>
        <v>ko</v>
      </c>
      <c r="S27" s="25" t="str">
        <f t="shared" ca="1" si="49"/>
        <v>ko</v>
      </c>
      <c r="T27" s="25" t="str">
        <f t="shared" ca="1" si="50"/>
        <v>ko</v>
      </c>
      <c r="U27" s="25" t="str">
        <f t="shared" ca="1" si="51"/>
        <v>ko</v>
      </c>
      <c r="V27" s="25">
        <v>1020</v>
      </c>
      <c r="W27" s="4">
        <v>45603</v>
      </c>
      <c r="X27" s="4"/>
      <c r="Y27" s="28" t="str">
        <f t="shared" ca="1" si="52"/>
        <v>ko</v>
      </c>
      <c r="Z27" s="25" t="str">
        <f t="shared" ca="1" si="53"/>
        <v>ko</v>
      </c>
      <c r="AA27" s="25" t="str">
        <f t="shared" ca="1" si="54"/>
        <v>ko</v>
      </c>
      <c r="AB27" s="25" t="str">
        <f t="shared" ca="1" si="55"/>
        <v>ok</v>
      </c>
      <c r="AC27" s="25">
        <v>1026</v>
      </c>
      <c r="AD27" s="4"/>
      <c r="AE27" s="4">
        <v>45604</v>
      </c>
      <c r="AF27" s="28" t="str">
        <f t="shared" ca="1" si="56"/>
        <v>ko</v>
      </c>
      <c r="AG27" s="20" t="str">
        <f t="shared" ca="1" si="57"/>
        <v>ok</v>
      </c>
      <c r="AH27" s="20" t="str">
        <f t="shared" ca="1" si="58"/>
        <v>ko</v>
      </c>
      <c r="AI27" s="20" t="str">
        <f t="shared" ca="1" si="59"/>
        <v>ko</v>
      </c>
      <c r="AJ27" s="25">
        <v>1032</v>
      </c>
      <c r="AK27" s="14"/>
      <c r="AL27" s="14"/>
      <c r="AM27" s="24" t="str">
        <f ca="1">IF(AND((AK27=$A$3),($AN$1=$AM$24)),"ok","ko")</f>
        <v>ko</v>
      </c>
      <c r="AN27" s="1" t="str">
        <f ca="1">IF(AND((AK27=$A$3),($AN$1&gt;$AM$24)),"ok","ko")</f>
        <v>ok</v>
      </c>
      <c r="AO27" s="1" t="str">
        <f ca="1">IF(AND((AL27=$A$3),($AN$1=$AM$24)),"ok","ko")</f>
        <v>ko</v>
      </c>
      <c r="AP27" s="1" t="str">
        <f ca="1">IF(AND((AL27=$A$3),($AN$1&gt;$AM$24)),"ok","ko")</f>
        <v>ok</v>
      </c>
    </row>
    <row r="28" spans="1:51" ht="14.25" customHeight="1" x14ac:dyDescent="0.35">
      <c r="A28" s="25">
        <v>1003</v>
      </c>
      <c r="B28" s="4">
        <v>45601</v>
      </c>
      <c r="C28" s="4">
        <v>45600</v>
      </c>
      <c r="D28" s="28" t="str">
        <f t="shared" ca="1" si="40"/>
        <v>ko</v>
      </c>
      <c r="E28" s="25" t="str">
        <f t="shared" ca="1" si="41"/>
        <v>ko</v>
      </c>
      <c r="F28" s="25" t="str">
        <f t="shared" ca="1" si="42"/>
        <v>ko</v>
      </c>
      <c r="G28" s="25" t="str">
        <f t="shared" ca="1" si="43"/>
        <v>ko</v>
      </c>
      <c r="H28" s="25">
        <v>1009</v>
      </c>
      <c r="I28" s="4">
        <v>45601</v>
      </c>
      <c r="J28" s="4">
        <v>45603</v>
      </c>
      <c r="K28" s="28" t="str">
        <f t="shared" ca="1" si="44"/>
        <v>ko</v>
      </c>
      <c r="L28" s="25" t="str">
        <f t="shared" ca="1" si="45"/>
        <v>ko</v>
      </c>
      <c r="M28" s="25" t="str">
        <f ca="1">IF(AND((J28=$A$3),($AN$1=$K$24)),"ok","ko")</f>
        <v>ko</v>
      </c>
      <c r="N28" s="25" t="str">
        <f ca="1">IF(AND((J28=$A$3),($AN$1&gt;$K$24)),"ok","ko")</f>
        <v>ko</v>
      </c>
      <c r="O28" s="25">
        <v>1015</v>
      </c>
      <c r="P28" s="4">
        <v>45602</v>
      </c>
      <c r="Q28" s="4">
        <v>45602</v>
      </c>
      <c r="R28" s="28" t="str">
        <f ca="1">IF(AND((P28=$A$3),($AN$1=$R$24)),"ok","ko")</f>
        <v>ko</v>
      </c>
      <c r="S28" s="25" t="str">
        <f ca="1">IF(AND((P28=$A$3),($AN$1&gt;$R$24)),"ok","ko")</f>
        <v>ko</v>
      </c>
      <c r="T28" s="25" t="str">
        <f t="shared" ca="1" si="50"/>
        <v>ko</v>
      </c>
      <c r="U28" s="25" t="str">
        <f t="shared" ca="1" si="51"/>
        <v>ko</v>
      </c>
      <c r="V28" s="25">
        <v>1021</v>
      </c>
      <c r="W28" s="4">
        <v>45603</v>
      </c>
      <c r="X28" s="4">
        <v>45603</v>
      </c>
      <c r="Y28" s="28" t="str">
        <f t="shared" ca="1" si="52"/>
        <v>ko</v>
      </c>
      <c r="Z28" s="25" t="str">
        <f t="shared" ca="1" si="53"/>
        <v>ko</v>
      </c>
      <c r="AA28" s="25" t="str">
        <f t="shared" ca="1" si="54"/>
        <v>ko</v>
      </c>
      <c r="AB28" s="25" t="str">
        <f t="shared" ca="1" si="55"/>
        <v>ko</v>
      </c>
      <c r="AC28" s="25">
        <v>1027</v>
      </c>
      <c r="AD28" s="4"/>
      <c r="AE28" s="4">
        <v>45604</v>
      </c>
      <c r="AF28" s="28" t="str">
        <f t="shared" ca="1" si="56"/>
        <v>ko</v>
      </c>
      <c r="AG28" s="20" t="str">
        <f t="shared" ca="1" si="57"/>
        <v>ok</v>
      </c>
      <c r="AH28" s="20" t="str">
        <f t="shared" ca="1" si="58"/>
        <v>ko</v>
      </c>
      <c r="AI28" s="20" t="str">
        <f t="shared" ca="1" si="59"/>
        <v>ko</v>
      </c>
      <c r="AJ28" s="25">
        <v>1033</v>
      </c>
      <c r="AK28" s="15"/>
      <c r="AL28" s="15"/>
      <c r="AM28" s="24" t="str">
        <f ca="1">IF(AND((AK28=$A$3),($AN$1=$AM$24)),"ok","ko")</f>
        <v>ko</v>
      </c>
      <c r="AN28" s="1" t="str">
        <f ca="1">IF(AND((AK28=$A$3),($AN$1&gt;$AM$24)),"ok","ko")</f>
        <v>ok</v>
      </c>
      <c r="AO28" s="1" t="str">
        <f ca="1">IF(AND((AL28=$A$3),($AN$1=$AM$24)),"ok","ko")</f>
        <v>ko</v>
      </c>
      <c r="AP28" s="1" t="str">
        <f ca="1">IF(AND((AL28=$A$3),($AN$1&gt;$AM$24)),"ok","ko")</f>
        <v>ok</v>
      </c>
    </row>
    <row r="29" spans="1:51" x14ac:dyDescent="0.35">
      <c r="A29" s="25">
        <v>1004</v>
      </c>
      <c r="B29" s="4">
        <v>45600</v>
      </c>
      <c r="C29" s="4">
        <v>45600</v>
      </c>
      <c r="D29" s="28" t="str">
        <f t="shared" ca="1" si="40"/>
        <v>ko</v>
      </c>
      <c r="E29" s="25" t="str">
        <f t="shared" ca="1" si="41"/>
        <v>ko</v>
      </c>
      <c r="F29" s="25" t="str">
        <f t="shared" ca="1" si="42"/>
        <v>ko</v>
      </c>
      <c r="G29" s="25" t="str">
        <f t="shared" ca="1" si="43"/>
        <v>ko</v>
      </c>
      <c r="H29" s="25">
        <v>1010</v>
      </c>
      <c r="I29" s="4">
        <v>45602</v>
      </c>
      <c r="J29" s="4">
        <v>45601</v>
      </c>
      <c r="K29" s="28" t="str">
        <f t="shared" ca="1" si="44"/>
        <v>ko</v>
      </c>
      <c r="L29" s="25" t="str">
        <f t="shared" ca="1" si="45"/>
        <v>ko</v>
      </c>
      <c r="M29" s="25" t="str">
        <f t="shared" ca="1" si="46"/>
        <v>ko</v>
      </c>
      <c r="N29" s="25" t="str">
        <f t="shared" ca="1" si="47"/>
        <v>ko</v>
      </c>
      <c r="O29" s="25">
        <v>1016</v>
      </c>
      <c r="P29" s="4">
        <v>45603</v>
      </c>
      <c r="Q29" s="4">
        <v>45602</v>
      </c>
      <c r="R29" s="28" t="str">
        <f ca="1">IF(AND((P29=$A$3),($AN$1=$R$24)),"ok","ko")</f>
        <v>ko</v>
      </c>
      <c r="S29" s="25" t="str">
        <f ca="1">IF(AND((P29=$A$3),($AN$1&gt;$R$24)),"ok","ko")</f>
        <v>ko</v>
      </c>
      <c r="T29" s="25" t="str">
        <f t="shared" ca="1" si="50"/>
        <v>ko</v>
      </c>
      <c r="U29" s="25" t="str">
        <f t="shared" ca="1" si="51"/>
        <v>ko</v>
      </c>
      <c r="V29" s="25">
        <v>1022</v>
      </c>
      <c r="W29" s="4">
        <v>45603</v>
      </c>
      <c r="X29" s="4">
        <v>45603</v>
      </c>
      <c r="Y29" s="28" t="str">
        <f t="shared" ca="1" si="52"/>
        <v>ko</v>
      </c>
      <c r="Z29" s="25" t="str">
        <f t="shared" ca="1" si="53"/>
        <v>ko</v>
      </c>
      <c r="AA29" s="25" t="str">
        <f t="shared" ca="1" si="54"/>
        <v>ko</v>
      </c>
      <c r="AB29" s="25" t="str">
        <f t="shared" ca="1" si="55"/>
        <v>ko</v>
      </c>
      <c r="AC29" s="25">
        <v>1028</v>
      </c>
      <c r="AD29" s="4"/>
      <c r="AE29" s="4"/>
      <c r="AF29" s="28" t="str">
        <f t="shared" ca="1" si="56"/>
        <v>ko</v>
      </c>
      <c r="AG29" s="20" t="str">
        <f t="shared" ca="1" si="57"/>
        <v>ok</v>
      </c>
      <c r="AH29" s="20" t="str">
        <f t="shared" ca="1" si="58"/>
        <v>ko</v>
      </c>
      <c r="AI29" s="20" t="str">
        <f t="shared" ca="1" si="59"/>
        <v>ok</v>
      </c>
      <c r="AJ29" s="25"/>
      <c r="AK29" s="37"/>
      <c r="AL29" s="37"/>
      <c r="AS29" s="2" t="s">
        <v>9</v>
      </c>
      <c r="AW29" s="2" t="s">
        <v>9</v>
      </c>
    </row>
    <row r="30" spans="1:51" x14ac:dyDescent="0.35">
      <c r="A30" s="25">
        <v>1005</v>
      </c>
      <c r="B30" s="4">
        <v>45600</v>
      </c>
      <c r="C30" s="4">
        <v>45600</v>
      </c>
      <c r="D30" s="28" t="str">
        <f t="shared" ca="1" si="40"/>
        <v>ko</v>
      </c>
      <c r="E30" s="25" t="str">
        <f t="shared" ca="1" si="41"/>
        <v>ko</v>
      </c>
      <c r="F30" s="25" t="str">
        <f t="shared" ca="1" si="42"/>
        <v>ko</v>
      </c>
      <c r="G30" s="25" t="str">
        <f t="shared" ca="1" si="43"/>
        <v>ko</v>
      </c>
      <c r="H30" s="25">
        <v>1011</v>
      </c>
      <c r="I30" s="4">
        <v>45602</v>
      </c>
      <c r="J30" s="42">
        <v>45602</v>
      </c>
      <c r="K30" s="28" t="str">
        <f t="shared" ca="1" si="44"/>
        <v>ko</v>
      </c>
      <c r="L30" s="25" t="str">
        <f t="shared" ca="1" si="45"/>
        <v>ko</v>
      </c>
      <c r="M30" s="25" t="str">
        <f t="shared" ca="1" si="46"/>
        <v>ko</v>
      </c>
      <c r="N30" s="25" t="str">
        <f t="shared" ca="1" si="47"/>
        <v>ko</v>
      </c>
      <c r="O30" s="25">
        <v>1017</v>
      </c>
      <c r="P30" s="4">
        <v>45602</v>
      </c>
      <c r="Q30" s="4">
        <v>45602</v>
      </c>
      <c r="R30" s="28" t="str">
        <f t="shared" ca="1" si="48"/>
        <v>ko</v>
      </c>
      <c r="S30" s="25" t="str">
        <f t="shared" ca="1" si="49"/>
        <v>ko</v>
      </c>
      <c r="T30" s="25" t="str">
        <f t="shared" ca="1" si="50"/>
        <v>ko</v>
      </c>
      <c r="U30" s="25" t="str">
        <f t="shared" ca="1" si="51"/>
        <v>ko</v>
      </c>
      <c r="V30" s="25">
        <v>1023</v>
      </c>
      <c r="W30" s="4">
        <v>45603</v>
      </c>
      <c r="X30" s="4"/>
      <c r="Y30" s="28" t="str">
        <f t="shared" ca="1" si="52"/>
        <v>ko</v>
      </c>
      <c r="Z30" s="25" t="str">
        <f t="shared" ca="1" si="53"/>
        <v>ko</v>
      </c>
      <c r="AA30" s="25" t="str">
        <f t="shared" ca="1" si="54"/>
        <v>ko</v>
      </c>
      <c r="AB30" s="25" t="str">
        <f t="shared" ca="1" si="55"/>
        <v>ok</v>
      </c>
      <c r="AC30" s="25">
        <v>1029</v>
      </c>
      <c r="AD30" s="4">
        <v>45604</v>
      </c>
      <c r="AE30" s="4"/>
      <c r="AF30" s="28" t="str">
        <f t="shared" ca="1" si="56"/>
        <v>ko</v>
      </c>
      <c r="AG30" s="20" t="str">
        <f t="shared" ca="1" si="57"/>
        <v>ko</v>
      </c>
      <c r="AH30" s="20" t="str">
        <f t="shared" ca="1" si="58"/>
        <v>ko</v>
      </c>
      <c r="AI30" s="20" t="str">
        <f t="shared" ca="1" si="59"/>
        <v>ok</v>
      </c>
      <c r="AJ30" s="25"/>
      <c r="AK30" s="27"/>
      <c r="AL30" s="27"/>
    </row>
    <row r="31" spans="1:51" x14ac:dyDescent="0.35">
      <c r="A31" s="30">
        <v>1006</v>
      </c>
      <c r="B31" s="5" t="s">
        <v>8</v>
      </c>
      <c r="C31" s="5" t="s">
        <v>8</v>
      </c>
      <c r="D31" s="33" t="str">
        <f t="shared" ca="1" si="40"/>
        <v>ko</v>
      </c>
      <c r="E31" s="30" t="str">
        <f t="shared" ca="1" si="41"/>
        <v>ko</v>
      </c>
      <c r="F31" s="30" t="str">
        <f t="shared" ca="1" si="42"/>
        <v>ko</v>
      </c>
      <c r="G31" s="30" t="str">
        <f t="shared" ca="1" si="43"/>
        <v>ko</v>
      </c>
      <c r="H31" s="30">
        <v>1012</v>
      </c>
      <c r="I31" s="5">
        <v>45601</v>
      </c>
      <c r="J31" s="5">
        <v>45601</v>
      </c>
      <c r="K31" s="33" t="str">
        <f t="shared" ca="1" si="44"/>
        <v>ko</v>
      </c>
      <c r="L31" s="30" t="str">
        <f t="shared" ca="1" si="45"/>
        <v>ko</v>
      </c>
      <c r="M31" s="30" t="str">
        <f t="shared" ca="1" si="46"/>
        <v>ko</v>
      </c>
      <c r="N31" s="30" t="str">
        <f t="shared" ca="1" si="47"/>
        <v>ko</v>
      </c>
      <c r="O31" s="30">
        <v>1018</v>
      </c>
      <c r="P31" s="5">
        <v>45602</v>
      </c>
      <c r="Q31" s="5">
        <v>45603</v>
      </c>
      <c r="R31" s="33" t="str">
        <f t="shared" ca="1" si="48"/>
        <v>ko</v>
      </c>
      <c r="S31" s="30" t="str">
        <f t="shared" ca="1" si="49"/>
        <v>ko</v>
      </c>
      <c r="T31" s="30" t="str">
        <f t="shared" ca="1" si="50"/>
        <v>ko</v>
      </c>
      <c r="U31" s="30" t="str">
        <f t="shared" ca="1" si="51"/>
        <v>ko</v>
      </c>
      <c r="V31" s="30">
        <v>1024</v>
      </c>
      <c r="W31" s="5"/>
      <c r="X31" s="5"/>
      <c r="Y31" s="33" t="str">
        <f t="shared" ca="1" si="52"/>
        <v>ko</v>
      </c>
      <c r="Z31" s="30" t="str">
        <f t="shared" ca="1" si="53"/>
        <v>ok</v>
      </c>
      <c r="AA31" s="30" t="str">
        <f t="shared" ca="1" si="54"/>
        <v>ko</v>
      </c>
      <c r="AB31" s="30" t="str">
        <f t="shared" ca="1" si="55"/>
        <v>ok</v>
      </c>
      <c r="AC31" s="30">
        <v>1030</v>
      </c>
      <c r="AD31" s="5"/>
      <c r="AE31" s="5">
        <v>45604</v>
      </c>
      <c r="AF31" s="33" t="str">
        <f t="shared" ca="1" si="56"/>
        <v>ko</v>
      </c>
      <c r="AG31" s="20" t="str">
        <f t="shared" ca="1" si="57"/>
        <v>ok</v>
      </c>
      <c r="AH31" s="20" t="str">
        <f t="shared" ca="1" si="58"/>
        <v>ko</v>
      </c>
      <c r="AI31" s="20" t="str">
        <f t="shared" ca="1" si="59"/>
        <v>ko</v>
      </c>
      <c r="AJ31" s="30"/>
      <c r="AK31" s="32"/>
      <c r="AL31" s="32"/>
    </row>
    <row r="33" spans="1:46" x14ac:dyDescent="0.35">
      <c r="C33" s="34"/>
      <c r="H33" s="1" t="s">
        <v>11</v>
      </c>
      <c r="O33" s="1" t="s">
        <v>9</v>
      </c>
      <c r="V33" s="34"/>
      <c r="W33" s="1" t="s">
        <v>12</v>
      </c>
    </row>
    <row r="34" spans="1:46" x14ac:dyDescent="0.35">
      <c r="B34" s="44" t="s">
        <v>0</v>
      </c>
      <c r="C34" s="44"/>
      <c r="I34" s="44" t="s">
        <v>1</v>
      </c>
      <c r="J34" s="44"/>
      <c r="P34" s="44" t="s">
        <v>2</v>
      </c>
      <c r="Q34" s="44"/>
      <c r="W34" s="44" t="s">
        <v>3</v>
      </c>
      <c r="X34" s="44"/>
      <c r="AD34" s="44" t="s">
        <v>4</v>
      </c>
      <c r="AE34" s="44"/>
      <c r="AK34" s="45" t="s">
        <v>5</v>
      </c>
      <c r="AL34" s="45"/>
    </row>
    <row r="35" spans="1:46" x14ac:dyDescent="0.35">
      <c r="B35" s="43">
        <f>AK24+2</f>
        <v>45607</v>
      </c>
      <c r="C35" s="43"/>
      <c r="D35" s="18">
        <f>B35+1</f>
        <v>45608</v>
      </c>
      <c r="I35" s="43">
        <f>B35+1</f>
        <v>45608</v>
      </c>
      <c r="J35" s="43"/>
      <c r="K35" s="18">
        <f>I35+1</f>
        <v>45609</v>
      </c>
      <c r="L35" s="18"/>
      <c r="M35" s="18"/>
      <c r="N35" s="18"/>
      <c r="O35" s="18"/>
      <c r="P35" s="43">
        <f>I35+1</f>
        <v>45609</v>
      </c>
      <c r="Q35" s="43"/>
      <c r="R35" s="18">
        <f>P35+1</f>
        <v>45610</v>
      </c>
      <c r="S35" s="18"/>
      <c r="T35" s="18"/>
      <c r="U35" s="18"/>
      <c r="V35" s="18"/>
      <c r="W35" s="43">
        <f>P35+1</f>
        <v>45610</v>
      </c>
      <c r="X35" s="43"/>
      <c r="Y35" s="18">
        <f>W35+1</f>
        <v>45611</v>
      </c>
      <c r="Z35" s="18"/>
      <c r="AA35" s="18"/>
      <c r="AB35" s="18"/>
      <c r="AC35" s="18"/>
      <c r="AD35" s="43">
        <f>W35+1</f>
        <v>45611</v>
      </c>
      <c r="AE35" s="43"/>
      <c r="AF35" s="18">
        <f>AD35+1</f>
        <v>45612</v>
      </c>
      <c r="AG35" s="18"/>
      <c r="AH35" s="18"/>
      <c r="AI35" s="18"/>
      <c r="AK35" s="43">
        <f>AD35+1</f>
        <v>45612</v>
      </c>
      <c r="AL35" s="44"/>
      <c r="AM35" s="18">
        <f>AK35+1</f>
        <v>45613</v>
      </c>
    </row>
    <row r="36" spans="1:46" x14ac:dyDescent="0.35">
      <c r="B36" s="1" t="s">
        <v>6</v>
      </c>
      <c r="C36" s="1" t="s">
        <v>7</v>
      </c>
      <c r="I36" s="1" t="s">
        <v>6</v>
      </c>
      <c r="J36" s="1" t="s">
        <v>7</v>
      </c>
      <c r="P36" s="1" t="s">
        <v>6</v>
      </c>
      <c r="Q36" s="24" t="s">
        <v>7</v>
      </c>
      <c r="W36" s="1" t="s">
        <v>6</v>
      </c>
      <c r="X36" s="1" t="s">
        <v>7</v>
      </c>
      <c r="AD36" s="1" t="s">
        <v>6</v>
      </c>
      <c r="AE36" s="1" t="s">
        <v>7</v>
      </c>
      <c r="AK36" s="1" t="s">
        <v>6</v>
      </c>
      <c r="AL36" s="1" t="s">
        <v>7</v>
      </c>
    </row>
    <row r="37" spans="1:46" x14ac:dyDescent="0.35">
      <c r="A37" s="20">
        <v>1001</v>
      </c>
      <c r="B37" s="13"/>
      <c r="C37" s="13"/>
      <c r="D37" s="23" t="str">
        <f t="shared" ref="D37:D42" ca="1" si="60">IF(AND((B37=$A$3),($AN$1=$D$35)),"ok","ko")</f>
        <v>ko</v>
      </c>
      <c r="E37" s="20" t="str">
        <f t="shared" ref="E37:E42" ca="1" si="61">IF(AND((B37=$A$3),($AN$1&gt;$D$35)),"ok","ko")</f>
        <v>ok</v>
      </c>
      <c r="F37" s="20" t="str">
        <f t="shared" ref="F37:F42" ca="1" si="62">IF(AND((C37=$A$3),($AN$1=$D$35)),"ok","ko")</f>
        <v>ko</v>
      </c>
      <c r="G37" s="20" t="str">
        <f t="shared" ref="G37:G42" ca="1" si="63">IF(AND((C37=$A$3),($AN$1&gt;$D$35)),"ok","ko")</f>
        <v>ok</v>
      </c>
      <c r="H37" s="20">
        <v>1007</v>
      </c>
      <c r="I37" s="3"/>
      <c r="J37" s="3"/>
      <c r="K37" s="23" t="str">
        <f t="shared" ref="K37:K42" ca="1" si="64">IF(AND((I37=$A$3),($AN$1=$K$35)),"ok","ko")</f>
        <v>ko</v>
      </c>
      <c r="L37" s="20" t="str">
        <f t="shared" ref="L37:L42" ca="1" si="65">IF(AND((I37=$A$3),($AN$1&gt;$K$35)),"ok","ko")</f>
        <v>ok</v>
      </c>
      <c r="M37" s="20" t="str">
        <f t="shared" ref="M37:M42" ca="1" si="66">IF(AND((J37=$A$3),($AN$1=$K$35)),"ok","ko")</f>
        <v>ko</v>
      </c>
      <c r="N37" s="20" t="str">
        <f t="shared" ref="N37:N42" ca="1" si="67">IF(AND((J37=$A$3),($AN$1&gt;$K$35)),"ok","ko")</f>
        <v>ok</v>
      </c>
      <c r="O37" s="20">
        <v>1013</v>
      </c>
      <c r="P37" s="3"/>
      <c r="Q37" s="3"/>
      <c r="R37" s="23" t="str">
        <f t="shared" ref="R37:R42" ca="1" si="68">IF(AND((P37=$A$3),($AN$1=$R$35)),"ok","ko")</f>
        <v>ko</v>
      </c>
      <c r="S37" s="20" t="str">
        <f t="shared" ref="S37:S42" ca="1" si="69">IF(AND((P37=$A$3),($AN$1&gt;$R$35)),"ok","ko")</f>
        <v>ok</v>
      </c>
      <c r="T37" s="20" t="str">
        <f t="shared" ref="T37:T42" ca="1" si="70">IF(AND((Q37=$A$3),($AN$1=$R$35)),"ok","ko")</f>
        <v>ko</v>
      </c>
      <c r="U37" s="20" t="str">
        <f t="shared" ref="U37:U42" ca="1" si="71">IF(AND((Q37=$A$3),($AN$1&gt;$R$35)),"ok","ko")</f>
        <v>ok</v>
      </c>
      <c r="V37" s="20">
        <v>1019</v>
      </c>
      <c r="W37" s="3"/>
      <c r="X37" s="6"/>
      <c r="Y37" s="23" t="str">
        <f t="shared" ref="Y37:Y42" ca="1" si="72">IF(AND((W37=$A$3),($AN$1=$Y$35)),"ok","ko")</f>
        <v>ko</v>
      </c>
      <c r="Z37" s="20" t="str">
        <f t="shared" ref="Z37:Z42" ca="1" si="73">IF(AND((W37=$A$3),($AN$1&gt;$Y$35)),"ok","ko")</f>
        <v>ok</v>
      </c>
      <c r="AA37" s="20" t="str">
        <f t="shared" ref="AA37:AA42" ca="1" si="74">IF(AND((X37=$A$3),($AN$1=$Y$35)),"ok","ko")</f>
        <v>ko</v>
      </c>
      <c r="AB37" s="20" t="str">
        <f t="shared" ref="AB37:AB42" ca="1" si="75">IF(AND((X37=$A$3),($AN$1&gt;$Y$35)),"ok","ko")</f>
        <v>ok</v>
      </c>
      <c r="AC37" s="20">
        <v>1025</v>
      </c>
      <c r="AD37" s="6"/>
      <c r="AE37" s="6"/>
      <c r="AF37" s="23" t="str">
        <f t="shared" ref="AF37:AF42" ca="1" si="76">IF(AND((AD37=$A$3),($AN$1=$AF$35)),"ok","ko")</f>
        <v>ok</v>
      </c>
      <c r="AG37" s="20" t="str">
        <f t="shared" ref="AG37:AG42" ca="1" si="77">IF(AND((AD37=$A$3),($AN$1&gt;$AF$35)),"ok","ko")</f>
        <v>ko</v>
      </c>
      <c r="AH37" s="20" t="str">
        <f t="shared" ref="AH37:AH42" ca="1" si="78">IF(AND((AE37=$A$3),($AN$1=$AF$35)),"ok","ko")</f>
        <v>ok</v>
      </c>
      <c r="AI37" s="20" t="str">
        <f t="shared" ref="AI37:AI42" ca="1" si="79">IF(AND((AE37=$A$3),($AN$1&gt;$AF$35)),"ok","ko")</f>
        <v>ko</v>
      </c>
      <c r="AJ37" s="20">
        <v>1031</v>
      </c>
      <c r="AK37" s="3"/>
      <c r="AL37" s="3"/>
      <c r="AM37" s="23" t="str">
        <f ca="1">IF(AND((AK37=$A$3),($AN$1=$AM$35)),"ok","ko")</f>
        <v>ko</v>
      </c>
      <c r="AN37" s="20" t="str">
        <f ca="1">IF(AND((AK37=$A$3),($AN$1&gt;$AM$35)),"ok","ko")</f>
        <v>ko</v>
      </c>
      <c r="AO37" s="20" t="str">
        <f ca="1">IF(AND((AL37=$A$3),($AN$1=$AM$35)),"ok","ko")</f>
        <v>ko</v>
      </c>
      <c r="AP37" s="20" t="str">
        <f ca="1">IF(AND((AL37=$A$3),($AN$1&gt;$AM$35)),"ok","ko")</f>
        <v>ko</v>
      </c>
    </row>
    <row r="38" spans="1:46" x14ac:dyDescent="0.35">
      <c r="A38" s="25">
        <v>1002</v>
      </c>
      <c r="B38" s="14"/>
      <c r="C38" s="14"/>
      <c r="D38" s="28" t="str">
        <f t="shared" ca="1" si="60"/>
        <v>ko</v>
      </c>
      <c r="E38" s="25" t="str">
        <f t="shared" ca="1" si="61"/>
        <v>ok</v>
      </c>
      <c r="F38" s="25" t="str">
        <f t="shared" ca="1" si="62"/>
        <v>ko</v>
      </c>
      <c r="G38" s="25" t="str">
        <f t="shared" ca="1" si="63"/>
        <v>ok</v>
      </c>
      <c r="H38" s="25">
        <v>1008</v>
      </c>
      <c r="I38" s="4"/>
      <c r="J38" s="4"/>
      <c r="K38" s="28" t="str">
        <f t="shared" ca="1" si="64"/>
        <v>ko</v>
      </c>
      <c r="L38" s="25" t="str">
        <f t="shared" ca="1" si="65"/>
        <v>ok</v>
      </c>
      <c r="M38" s="25" t="str">
        <f t="shared" ca="1" si="66"/>
        <v>ko</v>
      </c>
      <c r="N38" s="25" t="str">
        <f t="shared" ca="1" si="67"/>
        <v>ok</v>
      </c>
      <c r="O38" s="25">
        <v>1014</v>
      </c>
      <c r="P38" s="4"/>
      <c r="Q38" s="4"/>
      <c r="R38" s="28" t="str">
        <f t="shared" ca="1" si="68"/>
        <v>ko</v>
      </c>
      <c r="S38" s="25" t="str">
        <f t="shared" ca="1" si="69"/>
        <v>ok</v>
      </c>
      <c r="T38" s="25" t="str">
        <f t="shared" ca="1" si="70"/>
        <v>ko</v>
      </c>
      <c r="U38" s="25" t="str">
        <f t="shared" ca="1" si="71"/>
        <v>ok</v>
      </c>
      <c r="V38" s="25">
        <v>1020</v>
      </c>
      <c r="W38" s="4"/>
      <c r="X38" s="7"/>
      <c r="Y38" s="28" t="str">
        <f t="shared" ca="1" si="72"/>
        <v>ko</v>
      </c>
      <c r="Z38" s="25" t="str">
        <f t="shared" ca="1" si="73"/>
        <v>ok</v>
      </c>
      <c r="AA38" s="25" t="str">
        <f t="shared" ca="1" si="74"/>
        <v>ko</v>
      </c>
      <c r="AB38" s="25" t="str">
        <f t="shared" ca="1" si="75"/>
        <v>ok</v>
      </c>
      <c r="AC38" s="25">
        <v>1026</v>
      </c>
      <c r="AD38" s="7"/>
      <c r="AE38" s="7"/>
      <c r="AF38" s="23" t="str">
        <f t="shared" ca="1" si="76"/>
        <v>ok</v>
      </c>
      <c r="AG38" s="20" t="str">
        <f t="shared" ca="1" si="77"/>
        <v>ko</v>
      </c>
      <c r="AH38" s="20" t="str">
        <f t="shared" ca="1" si="78"/>
        <v>ok</v>
      </c>
      <c r="AI38" s="20" t="str">
        <f t="shared" ca="1" si="79"/>
        <v>ko</v>
      </c>
      <c r="AJ38" s="25">
        <v>1032</v>
      </c>
      <c r="AK38" s="4"/>
      <c r="AL38" s="4"/>
      <c r="AM38" s="23" t="str">
        <f ca="1">IF(AND((AK38=$A$3),($AN$1=$AM$35)),"ok","ko")</f>
        <v>ko</v>
      </c>
      <c r="AN38" s="20" t="str">
        <f ca="1">IF(AND((AK38=$A$3),($AN$1&gt;$AM$35)),"ok","ko")</f>
        <v>ko</v>
      </c>
      <c r="AO38" s="20" t="str">
        <f ca="1">IF(AND((AL38=$A$3),($AN$1=$AM$35)),"ok","ko")</f>
        <v>ko</v>
      </c>
      <c r="AP38" s="20" t="str">
        <f ca="1">IF(AND((AL38=$A$3),($AN$1&gt;$AM$35)),"ok","ko")</f>
        <v>ko</v>
      </c>
    </row>
    <row r="39" spans="1:46" x14ac:dyDescent="0.35">
      <c r="A39" s="25">
        <v>1003</v>
      </c>
      <c r="B39" s="14"/>
      <c r="C39" s="14"/>
      <c r="D39" s="28" t="str">
        <f t="shared" ca="1" si="60"/>
        <v>ko</v>
      </c>
      <c r="E39" s="25" t="str">
        <f t="shared" ca="1" si="61"/>
        <v>ok</v>
      </c>
      <c r="F39" s="25" t="str">
        <f t="shared" ca="1" si="62"/>
        <v>ko</v>
      </c>
      <c r="G39" s="25" t="str">
        <f t="shared" ca="1" si="63"/>
        <v>ok</v>
      </c>
      <c r="H39" s="25">
        <v>1009</v>
      </c>
      <c r="I39" s="4"/>
      <c r="J39" s="4"/>
      <c r="K39" s="28" t="str">
        <f t="shared" ca="1" si="64"/>
        <v>ko</v>
      </c>
      <c r="L39" s="25" t="str">
        <f t="shared" ca="1" si="65"/>
        <v>ok</v>
      </c>
      <c r="M39" s="25" t="str">
        <f t="shared" ca="1" si="66"/>
        <v>ko</v>
      </c>
      <c r="N39" s="25" t="str">
        <f t="shared" ca="1" si="67"/>
        <v>ok</v>
      </c>
      <c r="O39" s="25">
        <v>1015</v>
      </c>
      <c r="P39" s="4"/>
      <c r="Q39" s="4"/>
      <c r="R39" s="28" t="str">
        <f t="shared" ca="1" si="68"/>
        <v>ko</v>
      </c>
      <c r="S39" s="25" t="str">
        <f t="shared" ca="1" si="69"/>
        <v>ok</v>
      </c>
      <c r="T39" s="25" t="str">
        <f t="shared" ca="1" si="70"/>
        <v>ko</v>
      </c>
      <c r="U39" s="25" t="str">
        <f t="shared" ca="1" si="71"/>
        <v>ok</v>
      </c>
      <c r="V39" s="25">
        <v>1021</v>
      </c>
      <c r="W39" s="4"/>
      <c r="X39" s="7"/>
      <c r="Y39" s="28" t="str">
        <f t="shared" ca="1" si="72"/>
        <v>ko</v>
      </c>
      <c r="Z39" s="25" t="str">
        <f t="shared" ca="1" si="73"/>
        <v>ok</v>
      </c>
      <c r="AA39" s="25" t="str">
        <f t="shared" ca="1" si="74"/>
        <v>ko</v>
      </c>
      <c r="AB39" s="25" t="str">
        <f t="shared" ca="1" si="75"/>
        <v>ok</v>
      </c>
      <c r="AC39" s="25">
        <v>1027</v>
      </c>
      <c r="AD39" s="7"/>
      <c r="AE39" s="7"/>
      <c r="AF39" s="23" t="str">
        <f t="shared" ca="1" si="76"/>
        <v>ok</v>
      </c>
      <c r="AG39" s="20" t="str">
        <f t="shared" ca="1" si="77"/>
        <v>ko</v>
      </c>
      <c r="AH39" s="20" t="str">
        <f t="shared" ca="1" si="78"/>
        <v>ok</v>
      </c>
      <c r="AI39" s="20" t="str">
        <f t="shared" ca="1" si="79"/>
        <v>ko</v>
      </c>
      <c r="AJ39" s="25">
        <v>1033</v>
      </c>
      <c r="AK39" s="4"/>
      <c r="AL39" s="5"/>
      <c r="AM39" s="23" t="str">
        <f ca="1">IF(AND((AK39=$A$3),($AN$1=$AM$35)),"ok","ko")</f>
        <v>ko</v>
      </c>
      <c r="AN39" s="20" t="str">
        <f ca="1">IF(AND((AK39=$A$3),($AN$1&gt;$AM$35)),"ok","ko")</f>
        <v>ko</v>
      </c>
      <c r="AO39" s="20" t="str">
        <f ca="1">IF(AND((AL39=$A$3),($AN$1=$AM$35)),"ok","ko")</f>
        <v>ko</v>
      </c>
      <c r="AP39" s="20" t="str">
        <f ca="1">IF(AND((AL39=$A$3),($AN$1&gt;$AM$35)),"ok","ko")</f>
        <v>ko</v>
      </c>
    </row>
    <row r="40" spans="1:46" x14ac:dyDescent="0.35">
      <c r="A40" s="25">
        <v>1004</v>
      </c>
      <c r="B40" s="14"/>
      <c r="C40" s="14"/>
      <c r="D40" s="28" t="str">
        <f t="shared" ca="1" si="60"/>
        <v>ko</v>
      </c>
      <c r="E40" s="25" t="str">
        <f t="shared" ca="1" si="61"/>
        <v>ok</v>
      </c>
      <c r="F40" s="25" t="str">
        <f t="shared" ca="1" si="62"/>
        <v>ko</v>
      </c>
      <c r="G40" s="25" t="str">
        <f t="shared" ca="1" si="63"/>
        <v>ok</v>
      </c>
      <c r="H40" s="25">
        <v>1010</v>
      </c>
      <c r="I40" s="10"/>
      <c r="J40" s="10"/>
      <c r="K40" s="28" t="str">
        <f t="shared" ca="1" si="64"/>
        <v>ko</v>
      </c>
      <c r="L40" s="25" t="str">
        <f t="shared" ca="1" si="65"/>
        <v>ok</v>
      </c>
      <c r="M40" s="25" t="str">
        <f t="shared" ca="1" si="66"/>
        <v>ko</v>
      </c>
      <c r="N40" s="25" t="str">
        <f t="shared" ca="1" si="67"/>
        <v>ok</v>
      </c>
      <c r="O40" s="25">
        <v>1016</v>
      </c>
      <c r="P40" s="4"/>
      <c r="Q40" s="4"/>
      <c r="R40" s="28" t="str">
        <f t="shared" ca="1" si="68"/>
        <v>ko</v>
      </c>
      <c r="S40" s="25" t="str">
        <f t="shared" ca="1" si="69"/>
        <v>ok</v>
      </c>
      <c r="T40" s="25" t="str">
        <f t="shared" ca="1" si="70"/>
        <v>ko</v>
      </c>
      <c r="U40" s="25" t="str">
        <f t="shared" ca="1" si="71"/>
        <v>ok</v>
      </c>
      <c r="V40" s="25">
        <v>1022</v>
      </c>
      <c r="W40" s="4"/>
      <c r="X40" s="7"/>
      <c r="Y40" s="28" t="str">
        <f t="shared" ca="1" si="72"/>
        <v>ko</v>
      </c>
      <c r="Z40" s="25" t="str">
        <f t="shared" ca="1" si="73"/>
        <v>ok</v>
      </c>
      <c r="AA40" s="25" t="str">
        <f t="shared" ca="1" si="74"/>
        <v>ko</v>
      </c>
      <c r="AB40" s="25" t="str">
        <f t="shared" ca="1" si="75"/>
        <v>ok</v>
      </c>
      <c r="AC40" s="25">
        <v>1028</v>
      </c>
      <c r="AD40" s="7"/>
      <c r="AE40" s="8"/>
      <c r="AF40" s="23" t="str">
        <f t="shared" ca="1" si="76"/>
        <v>ok</v>
      </c>
      <c r="AG40" s="20" t="str">
        <f t="shared" ca="1" si="77"/>
        <v>ko</v>
      </c>
      <c r="AH40" s="20" t="str">
        <f t="shared" ca="1" si="78"/>
        <v>ok</v>
      </c>
      <c r="AI40" s="20" t="str">
        <f t="shared" ca="1" si="79"/>
        <v>ko</v>
      </c>
      <c r="AJ40" s="25"/>
      <c r="AK40" s="27"/>
      <c r="AL40" s="27"/>
    </row>
    <row r="41" spans="1:46" x14ac:dyDescent="0.35">
      <c r="A41" s="25">
        <v>1005</v>
      </c>
      <c r="B41" s="14"/>
      <c r="C41" s="14"/>
      <c r="D41" s="28" t="str">
        <f t="shared" ca="1" si="60"/>
        <v>ko</v>
      </c>
      <c r="E41" s="25" t="str">
        <f t="shared" ca="1" si="61"/>
        <v>ok</v>
      </c>
      <c r="F41" s="25" t="str">
        <f t="shared" ca="1" si="62"/>
        <v>ko</v>
      </c>
      <c r="G41" s="25" t="str">
        <f t="shared" ca="1" si="63"/>
        <v>ok</v>
      </c>
      <c r="H41" s="25">
        <v>1011</v>
      </c>
      <c r="I41" s="10"/>
      <c r="J41" s="4"/>
      <c r="K41" s="28" t="str">
        <f t="shared" ca="1" si="64"/>
        <v>ko</v>
      </c>
      <c r="L41" s="25" t="str">
        <f t="shared" ca="1" si="65"/>
        <v>ok</v>
      </c>
      <c r="M41" s="25" t="str">
        <f t="shared" ca="1" si="66"/>
        <v>ko</v>
      </c>
      <c r="N41" s="25" t="str">
        <f t="shared" ca="1" si="67"/>
        <v>ok</v>
      </c>
      <c r="O41" s="25">
        <v>1017</v>
      </c>
      <c r="P41" s="4"/>
      <c r="Q41" s="4"/>
      <c r="R41" s="28" t="str">
        <f t="shared" ca="1" si="68"/>
        <v>ko</v>
      </c>
      <c r="S41" s="25" t="str">
        <f t="shared" ca="1" si="69"/>
        <v>ok</v>
      </c>
      <c r="T41" s="25" t="str">
        <f t="shared" ca="1" si="70"/>
        <v>ko</v>
      </c>
      <c r="U41" s="25" t="str">
        <f t="shared" ca="1" si="71"/>
        <v>ok</v>
      </c>
      <c r="V41" s="25">
        <v>1023</v>
      </c>
      <c r="W41" s="4"/>
      <c r="X41" s="7"/>
      <c r="Y41" s="28" t="str">
        <f t="shared" ca="1" si="72"/>
        <v>ko</v>
      </c>
      <c r="Z41" s="25" t="str">
        <f t="shared" ca="1" si="73"/>
        <v>ok</v>
      </c>
      <c r="AA41" s="25" t="str">
        <f t="shared" ca="1" si="74"/>
        <v>ko</v>
      </c>
      <c r="AB41" s="25" t="str">
        <f t="shared" ca="1" si="75"/>
        <v>ok</v>
      </c>
      <c r="AC41" s="25">
        <v>1029</v>
      </c>
      <c r="AD41" s="7"/>
      <c r="AE41" s="7"/>
      <c r="AF41" s="23" t="str">
        <f t="shared" ca="1" si="76"/>
        <v>ok</v>
      </c>
      <c r="AG41" s="20" t="str">
        <f t="shared" ca="1" si="77"/>
        <v>ko</v>
      </c>
      <c r="AH41" s="20" t="str">
        <f t="shared" ca="1" si="78"/>
        <v>ok</v>
      </c>
      <c r="AI41" s="20" t="str">
        <f t="shared" ca="1" si="79"/>
        <v>ko</v>
      </c>
      <c r="AJ41" s="25"/>
      <c r="AK41" s="27"/>
      <c r="AL41" s="27"/>
    </row>
    <row r="42" spans="1:46" x14ac:dyDescent="0.35">
      <c r="A42" s="30">
        <v>1006</v>
      </c>
      <c r="B42" s="15" t="s">
        <v>8</v>
      </c>
      <c r="C42" s="15" t="s">
        <v>8</v>
      </c>
      <c r="D42" s="33" t="str">
        <f t="shared" ca="1" si="60"/>
        <v>ko</v>
      </c>
      <c r="E42" s="30" t="str">
        <f t="shared" ca="1" si="61"/>
        <v>ko</v>
      </c>
      <c r="F42" s="30" t="str">
        <f t="shared" ca="1" si="62"/>
        <v>ko</v>
      </c>
      <c r="G42" s="30" t="str">
        <f t="shared" ca="1" si="63"/>
        <v>ko</v>
      </c>
      <c r="H42" s="30">
        <v>1012</v>
      </c>
      <c r="I42" s="5"/>
      <c r="J42" s="5"/>
      <c r="K42" s="33" t="str">
        <f t="shared" ca="1" si="64"/>
        <v>ko</v>
      </c>
      <c r="L42" s="30" t="str">
        <f t="shared" ca="1" si="65"/>
        <v>ok</v>
      </c>
      <c r="M42" s="30" t="str">
        <f t="shared" ca="1" si="66"/>
        <v>ko</v>
      </c>
      <c r="N42" s="30" t="str">
        <f t="shared" ca="1" si="67"/>
        <v>ok</v>
      </c>
      <c r="O42" s="30">
        <v>1018</v>
      </c>
      <c r="P42" s="5"/>
      <c r="Q42" s="5"/>
      <c r="R42" s="33" t="str">
        <f t="shared" ca="1" si="68"/>
        <v>ko</v>
      </c>
      <c r="S42" s="30" t="str">
        <f t="shared" ca="1" si="69"/>
        <v>ok</v>
      </c>
      <c r="T42" s="30" t="str">
        <f t="shared" ca="1" si="70"/>
        <v>ko</v>
      </c>
      <c r="U42" s="30" t="str">
        <f t="shared" ca="1" si="71"/>
        <v>ok</v>
      </c>
      <c r="V42" s="30">
        <v>1024</v>
      </c>
      <c r="W42" s="5"/>
      <c r="X42" s="5"/>
      <c r="Y42" s="33" t="str">
        <f t="shared" ca="1" si="72"/>
        <v>ko</v>
      </c>
      <c r="Z42" s="30" t="str">
        <f t="shared" ca="1" si="73"/>
        <v>ok</v>
      </c>
      <c r="AA42" s="30" t="str">
        <f t="shared" ca="1" si="74"/>
        <v>ko</v>
      </c>
      <c r="AB42" s="30" t="str">
        <f t="shared" ca="1" si="75"/>
        <v>ok</v>
      </c>
      <c r="AC42" s="30">
        <v>1030</v>
      </c>
      <c r="AD42" s="9"/>
      <c r="AE42" s="9"/>
      <c r="AF42" s="23" t="str">
        <f t="shared" ca="1" si="76"/>
        <v>ok</v>
      </c>
      <c r="AG42" s="20" t="str">
        <f t="shared" ca="1" si="77"/>
        <v>ko</v>
      </c>
      <c r="AH42" s="20" t="str">
        <f t="shared" ca="1" si="78"/>
        <v>ok</v>
      </c>
      <c r="AI42" s="20" t="str">
        <f t="shared" ca="1" si="79"/>
        <v>ko</v>
      </c>
      <c r="AJ42" s="30"/>
      <c r="AK42" s="32"/>
      <c r="AL42" s="32"/>
    </row>
    <row r="43" spans="1:46" ht="15" customHeight="1" x14ac:dyDescent="0.35">
      <c r="AM43" s="38"/>
      <c r="AN43" s="38"/>
      <c r="AO43" s="38"/>
      <c r="AP43" s="38"/>
      <c r="AQ43" s="38"/>
    </row>
    <row r="44" spans="1:46" ht="12.75" customHeight="1" x14ac:dyDescent="0.35">
      <c r="AM44" s="38"/>
      <c r="AN44" s="38"/>
      <c r="AO44" s="38"/>
      <c r="AP44" s="38"/>
      <c r="AQ44" s="38"/>
      <c r="AT44" s="12"/>
    </row>
    <row r="45" spans="1:46" x14ac:dyDescent="0.35">
      <c r="AM45" s="38"/>
      <c r="AN45" s="38"/>
      <c r="AO45" s="38"/>
      <c r="AP45" s="38"/>
      <c r="AQ45" s="38"/>
    </row>
    <row r="46" spans="1:46" x14ac:dyDescent="0.35">
      <c r="AM46" s="39"/>
      <c r="AN46" s="38"/>
      <c r="AO46" s="38"/>
      <c r="AP46" s="38"/>
      <c r="AQ46" s="38"/>
    </row>
    <row r="47" spans="1:46" x14ac:dyDescent="0.35">
      <c r="AM47" s="38"/>
      <c r="AN47" s="38"/>
      <c r="AO47" s="38"/>
      <c r="AP47" s="38"/>
      <c r="AQ47" s="38"/>
    </row>
    <row r="48" spans="1:46" x14ac:dyDescent="0.35">
      <c r="AM48" s="41"/>
      <c r="AN48" s="40"/>
      <c r="AO48" s="40"/>
      <c r="AP48" s="40"/>
      <c r="AQ48" s="38"/>
    </row>
    <row r="49" spans="39:43" x14ac:dyDescent="0.35">
      <c r="AM49" s="41"/>
      <c r="AN49" s="40"/>
      <c r="AO49" s="40"/>
      <c r="AP49" s="40"/>
      <c r="AQ49" s="38"/>
    </row>
    <row r="50" spans="39:43" x14ac:dyDescent="0.35">
      <c r="AM50" s="41"/>
      <c r="AN50" s="40"/>
      <c r="AO50" s="40"/>
      <c r="AP50" s="40"/>
      <c r="AQ50" s="38"/>
    </row>
    <row r="51" spans="39:43" x14ac:dyDescent="0.35">
      <c r="AM51" s="38"/>
      <c r="AN51" s="38"/>
      <c r="AO51" s="38"/>
      <c r="AP51" s="38"/>
      <c r="AQ51" s="38"/>
    </row>
    <row r="52" spans="39:43" x14ac:dyDescent="0.35">
      <c r="AM52" s="38"/>
      <c r="AN52" s="38"/>
      <c r="AO52" s="38"/>
      <c r="AP52" s="38"/>
      <c r="AQ52" s="38"/>
    </row>
    <row r="53" spans="39:43" x14ac:dyDescent="0.35">
      <c r="AM53" s="38"/>
      <c r="AN53" s="38"/>
      <c r="AO53" s="38"/>
      <c r="AP53" s="38"/>
      <c r="AQ53" s="38"/>
    </row>
    <row r="54" spans="39:43" x14ac:dyDescent="0.35">
      <c r="AM54" s="38"/>
      <c r="AN54" s="38"/>
      <c r="AO54" s="38"/>
      <c r="AP54" s="38"/>
      <c r="AQ54" s="38"/>
    </row>
    <row r="55" spans="39:43" x14ac:dyDescent="0.35">
      <c r="AM55" s="38"/>
      <c r="AN55" s="38"/>
      <c r="AO55" s="38"/>
      <c r="AP55" s="38"/>
      <c r="AQ55" s="38"/>
    </row>
    <row r="56" spans="39:43" x14ac:dyDescent="0.35">
      <c r="AM56" s="38"/>
      <c r="AN56" s="38"/>
      <c r="AO56" s="38"/>
      <c r="AP56" s="38"/>
      <c r="AQ56" s="38"/>
    </row>
    <row r="57" spans="39:43" x14ac:dyDescent="0.35">
      <c r="AM57" s="38"/>
      <c r="AN57" s="38"/>
      <c r="AO57" s="38"/>
      <c r="AP57" s="38"/>
      <c r="AQ57" s="38"/>
    </row>
    <row r="58" spans="39:43" x14ac:dyDescent="0.35">
      <c r="AM58" s="38"/>
      <c r="AN58" s="38"/>
      <c r="AO58" s="38"/>
      <c r="AP58" s="38"/>
      <c r="AQ58" s="38"/>
    </row>
    <row r="59" spans="39:43" x14ac:dyDescent="0.35">
      <c r="AM59" s="38"/>
      <c r="AN59" s="38"/>
      <c r="AO59" s="38"/>
      <c r="AP59" s="38"/>
      <c r="AQ59" s="38"/>
    </row>
  </sheetData>
  <sheetProtection algorithmName="SHA-512" hashValue="llJfk1Dft/hGDrZaTw8F50lJKyXdk4jUgitJBRYt+qxdtVYqmkuKxpeGEUrYuKxUv7tCztsfpUZMz2PEzlrkLA==" saltValue="i/0xj8FdLmw0v9R6ef+UhA==" spinCount="100000" sheet="1" objects="1" scenarios="1"/>
  <mergeCells count="48">
    <mergeCell ref="AK34:AL34"/>
    <mergeCell ref="B35:C35"/>
    <mergeCell ref="I35:J35"/>
    <mergeCell ref="P35:Q35"/>
    <mergeCell ref="W35:X35"/>
    <mergeCell ref="AD35:AE35"/>
    <mergeCell ref="AK35:AL35"/>
    <mergeCell ref="B34:C34"/>
    <mergeCell ref="I34:J34"/>
    <mergeCell ref="P34:Q34"/>
    <mergeCell ref="W34:X34"/>
    <mergeCell ref="AD34:AE34"/>
    <mergeCell ref="AK23:AL23"/>
    <mergeCell ref="B24:C24"/>
    <mergeCell ref="I24:J24"/>
    <mergeCell ref="P24:Q24"/>
    <mergeCell ref="W24:X24"/>
    <mergeCell ref="AD24:AE24"/>
    <mergeCell ref="AK24:AL24"/>
    <mergeCell ref="B23:C23"/>
    <mergeCell ref="I23:J23"/>
    <mergeCell ref="P23:Q23"/>
    <mergeCell ref="W23:X23"/>
    <mergeCell ref="AD23:AE23"/>
    <mergeCell ref="AD12:AE12"/>
    <mergeCell ref="AK12:AL12"/>
    <mergeCell ref="I13:J13"/>
    <mergeCell ref="P13:Q13"/>
    <mergeCell ref="W13:X13"/>
    <mergeCell ref="AD13:AE13"/>
    <mergeCell ref="AK13:AL13"/>
    <mergeCell ref="B13:C13"/>
    <mergeCell ref="B12:C12"/>
    <mergeCell ref="I12:J12"/>
    <mergeCell ref="P12:Q12"/>
    <mergeCell ref="W12:X12"/>
    <mergeCell ref="AK2:AL2"/>
    <mergeCell ref="AK1:AL1"/>
    <mergeCell ref="B1:C1"/>
    <mergeCell ref="I1:J1"/>
    <mergeCell ref="P1:Q1"/>
    <mergeCell ref="W1:X1"/>
    <mergeCell ref="AD1:AE1"/>
    <mergeCell ref="AD2:AE2"/>
    <mergeCell ref="W2:X2"/>
    <mergeCell ref="P2:Q2"/>
    <mergeCell ref="I2:J2"/>
    <mergeCell ref="B2:C2"/>
  </mergeCells>
  <conditionalFormatting sqref="A15">
    <cfRule type="expression" dxfId="1207" priority="3557">
      <formula>C15="ko"</formula>
    </cfRule>
    <cfRule type="expression" dxfId="1206" priority="3558">
      <formula>B15="ko"</formula>
    </cfRule>
  </conditionalFormatting>
  <conditionalFormatting sqref="B37">
    <cfRule type="cellIs" dxfId="1205" priority="3483" operator="notEqual">
      <formula>$A$3</formula>
    </cfRule>
    <cfRule type="expression" dxfId="1204" priority="3484">
      <formula>D37="ok"</formula>
    </cfRule>
    <cfRule type="expression" dxfId="1203" priority="3485">
      <formula>E37="ok"</formula>
    </cfRule>
    <cfRule type="expression" dxfId="1202" priority="3486">
      <formula>B37=$A$3</formula>
    </cfRule>
  </conditionalFormatting>
  <conditionalFormatting sqref="B41">
    <cfRule type="cellIs" dxfId="1201" priority="3467" operator="notEqual">
      <formula>$A$3</formula>
    </cfRule>
    <cfRule type="expression" dxfId="1200" priority="3468">
      <formula>D41="ok"</formula>
    </cfRule>
    <cfRule type="expression" dxfId="1199" priority="3469">
      <formula>E41="ok"</formula>
    </cfRule>
    <cfRule type="expression" dxfId="1198" priority="3470">
      <formula>B41=$A$3</formula>
    </cfRule>
  </conditionalFormatting>
  <conditionalFormatting sqref="I42">
    <cfRule type="cellIs" dxfId="1197" priority="3459" operator="notEqual">
      <formula>$A$3</formula>
    </cfRule>
    <cfRule type="expression" dxfId="1196" priority="3460">
      <formula>K42="ok"</formula>
    </cfRule>
    <cfRule type="expression" dxfId="1195" priority="3461">
      <formula>L42="ok"</formula>
    </cfRule>
    <cfRule type="expression" dxfId="1194" priority="3462">
      <formula>I42=$A$3</formula>
    </cfRule>
  </conditionalFormatting>
  <conditionalFormatting sqref="I40">
    <cfRule type="cellIs" dxfId="1193" priority="3451" operator="notEqual">
      <formula>$A$3</formula>
    </cfRule>
    <cfRule type="expression" dxfId="1192" priority="3452">
      <formula>K40="ok"</formula>
    </cfRule>
    <cfRule type="expression" dxfId="1191" priority="3453">
      <formula>L40="ok"</formula>
    </cfRule>
    <cfRule type="expression" dxfId="1190" priority="3454">
      <formula>I40=$A$3</formula>
    </cfRule>
  </conditionalFormatting>
  <conditionalFormatting sqref="I39">
    <cfRule type="cellIs" dxfId="1189" priority="3447" operator="notEqual">
      <formula>$A$3</formula>
    </cfRule>
    <cfRule type="expression" dxfId="1188" priority="3448">
      <formula>K39="ok"</formula>
    </cfRule>
    <cfRule type="expression" dxfId="1187" priority="3449">
      <formula>L39="ok"</formula>
    </cfRule>
    <cfRule type="expression" dxfId="1186" priority="3450">
      <formula>I39=$A$3</formula>
    </cfRule>
  </conditionalFormatting>
  <conditionalFormatting sqref="I38">
    <cfRule type="cellIs" dxfId="1185" priority="3443" operator="notEqual">
      <formula>$A$3</formula>
    </cfRule>
    <cfRule type="expression" dxfId="1184" priority="3444">
      <formula>K38="ok"</formula>
    </cfRule>
    <cfRule type="expression" dxfId="1183" priority="3445">
      <formula>L38="ok"</formula>
    </cfRule>
    <cfRule type="expression" dxfId="1182" priority="3446">
      <formula>I38=$A$3</formula>
    </cfRule>
  </conditionalFormatting>
  <conditionalFormatting sqref="I37">
    <cfRule type="cellIs" dxfId="1181" priority="3439" operator="notEqual">
      <formula>$A$3</formula>
    </cfRule>
    <cfRule type="expression" dxfId="1180" priority="3440">
      <formula>K37="ok"</formula>
    </cfRule>
    <cfRule type="expression" dxfId="1179" priority="3441">
      <formula>L37="ok"</formula>
    </cfRule>
    <cfRule type="expression" dxfId="1178" priority="3442">
      <formula>I37=$A$3</formula>
    </cfRule>
  </conditionalFormatting>
  <conditionalFormatting sqref="I29:I30">
    <cfRule type="cellIs" dxfId="1177" priority="3423" operator="notEqual">
      <formula>$A$3</formula>
    </cfRule>
    <cfRule type="expression" dxfId="1176" priority="3424">
      <formula>K29="ok"</formula>
    </cfRule>
    <cfRule type="expression" dxfId="1175" priority="3425">
      <formula>L29="ok"</formula>
    </cfRule>
    <cfRule type="expression" dxfId="1174" priority="3426">
      <formula>I29=$A$3</formula>
    </cfRule>
  </conditionalFormatting>
  <conditionalFormatting sqref="P30">
    <cfRule type="cellIs" dxfId="1173" priority="3323" operator="notEqual">
      <formula>$A$3</formula>
    </cfRule>
    <cfRule type="expression" dxfId="1172" priority="3324">
      <formula>R30="ok"</formula>
    </cfRule>
    <cfRule type="expression" dxfId="1171" priority="3325">
      <formula>S30="ok"</formula>
    </cfRule>
    <cfRule type="expression" dxfId="1170" priority="3326">
      <formula>P30=$A$3</formula>
    </cfRule>
  </conditionalFormatting>
  <conditionalFormatting sqref="P31">
    <cfRule type="cellIs" dxfId="1169" priority="3319" operator="notEqual">
      <formula>$A$3</formula>
    </cfRule>
    <cfRule type="expression" dxfId="1168" priority="3320">
      <formula>R31="ok"</formula>
    </cfRule>
    <cfRule type="expression" dxfId="1167" priority="3321">
      <formula>S31="ok"</formula>
    </cfRule>
    <cfRule type="expression" dxfId="1166" priority="3322">
      <formula>P31=$A$3</formula>
    </cfRule>
  </conditionalFormatting>
  <conditionalFormatting sqref="W40">
    <cfRule type="cellIs" dxfId="1165" priority="3283" operator="notEqual">
      <formula>$A$3</formula>
    </cfRule>
    <cfRule type="expression" dxfId="1164" priority="3284">
      <formula>Y40="ok"</formula>
    </cfRule>
    <cfRule type="expression" dxfId="1163" priority="3285">
      <formula>Z40="ok"</formula>
    </cfRule>
    <cfRule type="expression" dxfId="1162" priority="3286">
      <formula>W40=$A$3</formula>
    </cfRule>
  </conditionalFormatting>
  <conditionalFormatting sqref="W31">
    <cfRule type="cellIs" dxfId="1161" priority="3267" operator="notEqual">
      <formula>$A$3</formula>
    </cfRule>
    <cfRule type="expression" dxfId="1160" priority="3268">
      <formula>Y31="ok"</formula>
    </cfRule>
    <cfRule type="expression" dxfId="1159" priority="3269">
      <formula>Z31="ok"</formula>
    </cfRule>
    <cfRule type="expression" dxfId="1158" priority="3270">
      <formula>W31=$A$3</formula>
    </cfRule>
  </conditionalFormatting>
  <conditionalFormatting sqref="W29">
    <cfRule type="cellIs" dxfId="1157" priority="3259" operator="notEqual">
      <formula>$A$3</formula>
    </cfRule>
    <cfRule type="expression" dxfId="1156" priority="3260">
      <formula>Y29="ok"</formula>
    </cfRule>
    <cfRule type="expression" dxfId="1155" priority="3261">
      <formula>Z29="ok"</formula>
    </cfRule>
    <cfRule type="expression" dxfId="1154" priority="3262">
      <formula>W29=$A$3</formula>
    </cfRule>
  </conditionalFormatting>
  <conditionalFormatting sqref="W28">
    <cfRule type="cellIs" dxfId="1153" priority="3255" operator="notEqual">
      <formula>$A$3</formula>
    </cfRule>
    <cfRule type="expression" dxfId="1152" priority="3256">
      <formula>Y28="ok"</formula>
    </cfRule>
    <cfRule type="expression" dxfId="1151" priority="3257">
      <formula>Z28="ok"</formula>
    </cfRule>
    <cfRule type="expression" dxfId="1150" priority="3258">
      <formula>W28=$A$3</formula>
    </cfRule>
  </conditionalFormatting>
  <conditionalFormatting sqref="W27">
    <cfRule type="cellIs" dxfId="1149" priority="3251" operator="notEqual">
      <formula>$A$3</formula>
    </cfRule>
    <cfRule type="expression" dxfId="1148" priority="3252">
      <formula>Y27="ok"</formula>
    </cfRule>
    <cfRule type="expression" dxfId="1147" priority="3253">
      <formula>Z27="ok"</formula>
    </cfRule>
    <cfRule type="expression" dxfId="1146" priority="3254">
      <formula>W27=$A$3</formula>
    </cfRule>
  </conditionalFormatting>
  <conditionalFormatting sqref="AD27">
    <cfRule type="cellIs" dxfId="1145" priority="3191" operator="notEqual">
      <formula>$A$3</formula>
    </cfRule>
    <cfRule type="expression" dxfId="1144" priority="3192">
      <formula>AF27="ok"</formula>
    </cfRule>
    <cfRule type="expression" dxfId="1143" priority="3193">
      <formula>AG27="ok"</formula>
    </cfRule>
    <cfRule type="expression" dxfId="1142" priority="3194">
      <formula>AD27=$A$3</formula>
    </cfRule>
  </conditionalFormatting>
  <conditionalFormatting sqref="AD31">
    <cfRule type="cellIs" dxfId="1141" priority="3175" operator="notEqual">
      <formula>$A$3</formula>
    </cfRule>
    <cfRule type="expression" dxfId="1140" priority="3176">
      <formula>AF31="ok"</formula>
    </cfRule>
    <cfRule type="expression" dxfId="1139" priority="3177">
      <formula>AG31="ok"</formula>
    </cfRule>
    <cfRule type="expression" dxfId="1138" priority="3178">
      <formula>AD31=$A$3</formula>
    </cfRule>
  </conditionalFormatting>
  <conditionalFormatting sqref="AK37">
    <cfRule type="cellIs" dxfId="1137" priority="3139" operator="notEqual">
      <formula>$A$3</formula>
    </cfRule>
    <cfRule type="expression" dxfId="1136" priority="3140">
      <formula>AM37="ok"</formula>
    </cfRule>
    <cfRule type="expression" dxfId="1135" priority="3141">
      <formula>AN37="ok"</formula>
    </cfRule>
    <cfRule type="expression" dxfId="1134" priority="3142">
      <formula>AK37=$A$3</formula>
    </cfRule>
  </conditionalFormatting>
  <conditionalFormatting sqref="AK27">
    <cfRule type="cellIs" dxfId="1133" priority="3131" operator="notEqual">
      <formula>$A$3</formula>
    </cfRule>
    <cfRule type="expression" dxfId="1132" priority="3132">
      <formula>AM27="ok"</formula>
    </cfRule>
    <cfRule type="expression" dxfId="1131" priority="3133">
      <formula>AN27="ok"</formula>
    </cfRule>
    <cfRule type="expression" dxfId="1130" priority="3134">
      <formula>AK27=$A$3</formula>
    </cfRule>
  </conditionalFormatting>
  <conditionalFormatting sqref="C42">
    <cfRule type="cellIs" dxfId="1129" priority="3039" operator="notEqual">
      <formula>$A$3</formula>
    </cfRule>
    <cfRule type="expression" dxfId="1128" priority="3040">
      <formula>F42="ok"</formula>
    </cfRule>
    <cfRule type="expression" dxfId="1127" priority="3041">
      <formula>G42="ok"</formula>
    </cfRule>
    <cfRule type="expression" dxfId="1126" priority="3042">
      <formula>C42=$A$3</formula>
    </cfRule>
  </conditionalFormatting>
  <conditionalFormatting sqref="J42">
    <cfRule type="cellIs" dxfId="1125" priority="3035" operator="notEqual">
      <formula>$A$3</formula>
    </cfRule>
    <cfRule type="expression" dxfId="1124" priority="3036">
      <formula>M42="ok"</formula>
    </cfRule>
    <cfRule type="expression" dxfId="1123" priority="3037">
      <formula>N42="ok"</formula>
    </cfRule>
    <cfRule type="expression" dxfId="1122" priority="3038">
      <formula>J42=$A$3</formula>
    </cfRule>
  </conditionalFormatting>
  <conditionalFormatting sqref="J41">
    <cfRule type="cellIs" dxfId="1121" priority="3031" operator="notEqual">
      <formula>$A$3</formula>
    </cfRule>
    <cfRule type="expression" dxfId="1120" priority="3032">
      <formula>M41="ok"</formula>
    </cfRule>
    <cfRule type="expression" dxfId="1119" priority="3033">
      <formula>N41="ok"</formula>
    </cfRule>
    <cfRule type="expression" dxfId="1118" priority="3034">
      <formula>J41=$A$3</formula>
    </cfRule>
  </conditionalFormatting>
  <conditionalFormatting sqref="J40">
    <cfRule type="cellIs" dxfId="1117" priority="3027" operator="notEqual">
      <formula>$A$3</formula>
    </cfRule>
    <cfRule type="expression" dxfId="1116" priority="3028">
      <formula>M40="ok"</formula>
    </cfRule>
    <cfRule type="expression" dxfId="1115" priority="3029">
      <formula>N40="ok"</formula>
    </cfRule>
    <cfRule type="expression" dxfId="1114" priority="3030">
      <formula>J40=$A$3</formula>
    </cfRule>
  </conditionalFormatting>
  <conditionalFormatting sqref="J39">
    <cfRule type="cellIs" dxfId="1113" priority="3023" operator="notEqual">
      <formula>$A$3</formula>
    </cfRule>
    <cfRule type="expression" dxfId="1112" priority="3024">
      <formula>M39="ok"</formula>
    </cfRule>
    <cfRule type="expression" dxfId="1111" priority="3025">
      <formula>N39="ok"</formula>
    </cfRule>
    <cfRule type="expression" dxfId="1110" priority="3026">
      <formula>J39=$A$3</formula>
    </cfRule>
  </conditionalFormatting>
  <conditionalFormatting sqref="J38">
    <cfRule type="cellIs" dxfId="1109" priority="3019" operator="notEqual">
      <formula>$A$3</formula>
    </cfRule>
    <cfRule type="expression" dxfId="1108" priority="3020">
      <formula>M38="ok"</formula>
    </cfRule>
    <cfRule type="expression" dxfId="1107" priority="3021">
      <formula>N38="ok"</formula>
    </cfRule>
    <cfRule type="expression" dxfId="1106" priority="3022">
      <formula>J38=$A$3</formula>
    </cfRule>
  </conditionalFormatting>
  <conditionalFormatting sqref="J37">
    <cfRule type="cellIs" dxfId="1105" priority="3015" operator="notEqual">
      <formula>$A$3</formula>
    </cfRule>
    <cfRule type="expression" dxfId="1104" priority="3016">
      <formula>M37="ok"</formula>
    </cfRule>
    <cfRule type="expression" dxfId="1103" priority="3017">
      <formula>N37="ok"</formula>
    </cfRule>
    <cfRule type="expression" dxfId="1102" priority="3018">
      <formula>J37=$A$3</formula>
    </cfRule>
  </conditionalFormatting>
  <conditionalFormatting sqref="J29">
    <cfRule type="cellIs" dxfId="1101" priority="3003" operator="notEqual">
      <formula>$A$3</formula>
    </cfRule>
    <cfRule type="expression" dxfId="1100" priority="3004">
      <formula>M29="ok"</formula>
    </cfRule>
    <cfRule type="expression" dxfId="1099" priority="3005">
      <formula>N29="ok"</formula>
    </cfRule>
    <cfRule type="expression" dxfId="1098" priority="3006">
      <formula>J29=$A$3</formula>
    </cfRule>
  </conditionalFormatting>
  <conditionalFormatting sqref="Q26">
    <cfRule type="cellIs" dxfId="1097" priority="2939" operator="notEqual">
      <formula>$A$3</formula>
    </cfRule>
    <cfRule type="expression" dxfId="1096" priority="2940">
      <formula>T26="ok"</formula>
    </cfRule>
    <cfRule type="expression" dxfId="1095" priority="2941">
      <formula>U26="ok"</formula>
    </cfRule>
    <cfRule type="expression" dxfId="1094" priority="2942">
      <formula>Q26=$A$3</formula>
    </cfRule>
  </conditionalFormatting>
  <conditionalFormatting sqref="X31">
    <cfRule type="cellIs" dxfId="1093" priority="2855" operator="notEqual">
      <formula>$A$3</formula>
    </cfRule>
    <cfRule type="expression" dxfId="1092" priority="2856">
      <formula>AA31="ok"</formula>
    </cfRule>
    <cfRule type="expression" dxfId="1091" priority="2857">
      <formula>AB31="ok"</formula>
    </cfRule>
    <cfRule type="expression" dxfId="1090" priority="2858">
      <formula>X31=$A$3</formula>
    </cfRule>
  </conditionalFormatting>
  <conditionalFormatting sqref="X28">
    <cfRule type="cellIs" dxfId="1089" priority="2843" operator="notEqual">
      <formula>$A$3</formula>
    </cfRule>
    <cfRule type="expression" dxfId="1088" priority="2844">
      <formula>AA28="ok"</formula>
    </cfRule>
    <cfRule type="expression" dxfId="1087" priority="2845">
      <formula>AB28="ok"</formula>
    </cfRule>
    <cfRule type="expression" dxfId="1086" priority="2846">
      <formula>X28=$A$3</formula>
    </cfRule>
  </conditionalFormatting>
  <conditionalFormatting sqref="X27">
    <cfRule type="cellIs" dxfId="1085" priority="2839" operator="notEqual">
      <formula>$A$3</formula>
    </cfRule>
    <cfRule type="expression" dxfId="1084" priority="2840">
      <formula>AA27="ok"</formula>
    </cfRule>
    <cfRule type="expression" dxfId="1083" priority="2841">
      <formula>AB27="ok"</formula>
    </cfRule>
    <cfRule type="expression" dxfId="1082" priority="2842">
      <formula>X27=$A$3</formula>
    </cfRule>
  </conditionalFormatting>
  <conditionalFormatting sqref="AE29">
    <cfRule type="cellIs" dxfId="1081" priority="2771" operator="notEqual">
      <formula>$A$3</formula>
    </cfRule>
    <cfRule type="expression" dxfId="1080" priority="2772">
      <formula>AH29="ok"</formula>
    </cfRule>
    <cfRule type="expression" dxfId="1079" priority="2773">
      <formula>AI29="ok"</formula>
    </cfRule>
    <cfRule type="expression" dxfId="1078" priority="2774">
      <formula>AE29=$A$3</formula>
    </cfRule>
  </conditionalFormatting>
  <conditionalFormatting sqref="AE31">
    <cfRule type="cellIs" dxfId="1077" priority="2763" operator="notEqual">
      <formula>$A$3</formula>
    </cfRule>
    <cfRule type="expression" dxfId="1076" priority="2764">
      <formula>AH31="ok"</formula>
    </cfRule>
    <cfRule type="expression" dxfId="1075" priority="2765">
      <formula>AI31="ok"</formula>
    </cfRule>
    <cfRule type="expression" dxfId="1074" priority="2766">
      <formula>AE31=$A$3</formula>
    </cfRule>
  </conditionalFormatting>
  <conditionalFormatting sqref="AE38">
    <cfRule type="cellIs" dxfId="1073" priority="2747" operator="notEqual">
      <formula>$A$3</formula>
    </cfRule>
    <cfRule type="expression" dxfId="1072" priority="2748">
      <formula>AH38="ok"</formula>
    </cfRule>
    <cfRule type="expression" dxfId="1071" priority="2749">
      <formula>AI38="ok"</formula>
    </cfRule>
    <cfRule type="expression" dxfId="1070" priority="2750">
      <formula>AE38=$A$3</formula>
    </cfRule>
  </conditionalFormatting>
  <conditionalFormatting sqref="AE39">
    <cfRule type="cellIs" dxfId="1069" priority="2743" operator="notEqual">
      <formula>$A$3</formula>
    </cfRule>
    <cfRule type="expression" dxfId="1068" priority="2744">
      <formula>AH39="ok"</formula>
    </cfRule>
    <cfRule type="expression" dxfId="1067" priority="2745">
      <formula>AI39="ok"</formula>
    </cfRule>
    <cfRule type="expression" dxfId="1066" priority="2746">
      <formula>AE39=$A$3</formula>
    </cfRule>
  </conditionalFormatting>
  <conditionalFormatting sqref="AE40">
    <cfRule type="cellIs" dxfId="1065" priority="2739" operator="notEqual">
      <formula>$A$3</formula>
    </cfRule>
    <cfRule type="expression" dxfId="1064" priority="2740">
      <formula>AH40="ok"</formula>
    </cfRule>
    <cfRule type="expression" dxfId="1063" priority="2741">
      <formula>AI40="ok"</formula>
    </cfRule>
    <cfRule type="expression" dxfId="1062" priority="2742">
      <formula>AE40=$A$3</formula>
    </cfRule>
  </conditionalFormatting>
  <conditionalFormatting sqref="AE41">
    <cfRule type="cellIs" dxfId="1061" priority="2735" operator="notEqual">
      <formula>$A$3</formula>
    </cfRule>
    <cfRule type="expression" dxfId="1060" priority="2736">
      <formula>AH41="ok"</formula>
    </cfRule>
    <cfRule type="expression" dxfId="1059" priority="2737">
      <formula>AI41="ok"</formula>
    </cfRule>
    <cfRule type="expression" dxfId="1058" priority="2738">
      <formula>AE41=$A$3</formula>
    </cfRule>
  </conditionalFormatting>
  <conditionalFormatting sqref="AL37">
    <cfRule type="cellIs" dxfId="1057" priority="2719" operator="notEqual">
      <formula>$A$3</formula>
    </cfRule>
    <cfRule type="expression" dxfId="1056" priority="2720">
      <formula>AO37="ok"</formula>
    </cfRule>
    <cfRule type="expression" dxfId="1055" priority="2721">
      <formula>AP37="ok"</formula>
    </cfRule>
    <cfRule type="expression" dxfId="1054" priority="2722">
      <formula>AL37=$A$3</formula>
    </cfRule>
  </conditionalFormatting>
  <conditionalFormatting sqref="AL28">
    <cfRule type="cellIs" dxfId="1053" priority="2715" operator="notEqual">
      <formula>$A$3</formula>
    </cfRule>
    <cfRule type="expression" dxfId="1052" priority="2716">
      <formula>AO28="ok"</formula>
    </cfRule>
    <cfRule type="expression" dxfId="1051" priority="2717">
      <formula>AP28="ok"</formula>
    </cfRule>
    <cfRule type="expression" dxfId="1050" priority="2718">
      <formula>AL28=$A$3</formula>
    </cfRule>
  </conditionalFormatting>
  <conditionalFormatting sqref="AL27">
    <cfRule type="cellIs" dxfId="1049" priority="2711" operator="notEqual">
      <formula>$A$3</formula>
    </cfRule>
    <cfRule type="expression" dxfId="1048" priority="2712">
      <formula>AO27="ok"</formula>
    </cfRule>
    <cfRule type="expression" dxfId="1047" priority="2713">
      <formula>AP27="ok"</formula>
    </cfRule>
    <cfRule type="expression" dxfId="1046" priority="2714">
      <formula>AL27=$A$3</formula>
    </cfRule>
  </conditionalFormatting>
  <conditionalFormatting sqref="A16">
    <cfRule type="expression" dxfId="1045" priority="2693">
      <formula>C16="ko"</formula>
    </cfRule>
    <cfRule type="expression" dxfId="1044" priority="2694">
      <formula>B16="ko"</formula>
    </cfRule>
  </conditionalFormatting>
  <conditionalFormatting sqref="A17">
    <cfRule type="expression" dxfId="1043" priority="2691">
      <formula>C17="ko"</formula>
    </cfRule>
    <cfRule type="expression" dxfId="1042" priority="2692">
      <formula>B17="ko"</formula>
    </cfRule>
  </conditionalFormatting>
  <conditionalFormatting sqref="A18">
    <cfRule type="expression" dxfId="1041" priority="2689">
      <formula>C18="ko"</formula>
    </cfRule>
    <cfRule type="expression" dxfId="1040" priority="2690">
      <formula>B18="ko"</formula>
    </cfRule>
  </conditionalFormatting>
  <conditionalFormatting sqref="A19">
    <cfRule type="expression" dxfId="1039" priority="2687">
      <formula>C19="ko"</formula>
    </cfRule>
    <cfRule type="expression" dxfId="1038" priority="2688">
      <formula>B19="ko"</formula>
    </cfRule>
  </conditionalFormatting>
  <conditionalFormatting sqref="A20">
    <cfRule type="expression" dxfId="1037" priority="2685">
      <formula>C20="ko"</formula>
    </cfRule>
    <cfRule type="expression" dxfId="1036" priority="2686">
      <formula>B20="ko"</formula>
    </cfRule>
  </conditionalFormatting>
  <conditionalFormatting sqref="A4">
    <cfRule type="expression" dxfId="1035" priority="2683">
      <formula>C4="ko"</formula>
    </cfRule>
    <cfRule type="expression" dxfId="1034" priority="2684">
      <formula>B4="ko"</formula>
    </cfRule>
  </conditionalFormatting>
  <conditionalFormatting sqref="A5">
    <cfRule type="expression" dxfId="1033" priority="2681">
      <formula>C5="ko"</formula>
    </cfRule>
    <cfRule type="expression" dxfId="1032" priority="2682">
      <formula>B5="ko"</formula>
    </cfRule>
  </conditionalFormatting>
  <conditionalFormatting sqref="A6">
    <cfRule type="expression" dxfId="1031" priority="2679">
      <formula>C6="ko"</formula>
    </cfRule>
    <cfRule type="expression" dxfId="1030" priority="2680">
      <formula>B6="ko"</formula>
    </cfRule>
  </conditionalFormatting>
  <conditionalFormatting sqref="A7">
    <cfRule type="expression" dxfId="1029" priority="2677">
      <formula>C7="ko"</formula>
    </cfRule>
    <cfRule type="expression" dxfId="1028" priority="2678">
      <formula>B7="ko"</formula>
    </cfRule>
  </conditionalFormatting>
  <conditionalFormatting sqref="A8">
    <cfRule type="expression" dxfId="1027" priority="2675">
      <formula>C8="ko"</formula>
    </cfRule>
    <cfRule type="expression" dxfId="1026" priority="2676">
      <formula>B8="ko"</formula>
    </cfRule>
  </conditionalFormatting>
  <conditionalFormatting sqref="A9">
    <cfRule type="expression" dxfId="1025" priority="2673">
      <formula>C9="ko"</formula>
    </cfRule>
    <cfRule type="expression" dxfId="1024" priority="2674">
      <formula>B9="ko"</formula>
    </cfRule>
  </conditionalFormatting>
  <conditionalFormatting sqref="A26">
    <cfRule type="expression" dxfId="1023" priority="2671">
      <formula>C26="ko"</formula>
    </cfRule>
    <cfRule type="expression" dxfId="1022" priority="2672">
      <formula>B26="ko"</formula>
    </cfRule>
  </conditionalFormatting>
  <conditionalFormatting sqref="A27">
    <cfRule type="expression" dxfId="1021" priority="2669">
      <formula>C27="ko"</formula>
    </cfRule>
    <cfRule type="expression" dxfId="1020" priority="2670">
      <formula>B27="ko"</formula>
    </cfRule>
  </conditionalFormatting>
  <conditionalFormatting sqref="A28">
    <cfRule type="expression" dxfId="1019" priority="2667">
      <formula>C28="ko"</formula>
    </cfRule>
    <cfRule type="expression" dxfId="1018" priority="2668">
      <formula>B28="ko"</formula>
    </cfRule>
  </conditionalFormatting>
  <conditionalFormatting sqref="A29">
    <cfRule type="expression" dxfId="1017" priority="2665">
      <formula>C29="ko"</formula>
    </cfRule>
    <cfRule type="expression" dxfId="1016" priority="2666">
      <formula>B29="ko"</formula>
    </cfRule>
  </conditionalFormatting>
  <conditionalFormatting sqref="A30">
    <cfRule type="expression" dxfId="1015" priority="2663">
      <formula>C30="ko"</formula>
    </cfRule>
    <cfRule type="expression" dxfId="1014" priority="2664">
      <formula>B30="ko"</formula>
    </cfRule>
  </conditionalFormatting>
  <conditionalFormatting sqref="A31">
    <cfRule type="expression" dxfId="1013" priority="2661">
      <formula>C31="ko"</formula>
    </cfRule>
    <cfRule type="expression" dxfId="1012" priority="2662">
      <formula>B31="ko"</formula>
    </cfRule>
  </conditionalFormatting>
  <conditionalFormatting sqref="A37">
    <cfRule type="expression" dxfId="1011" priority="2659">
      <formula>C37="ko"</formula>
    </cfRule>
    <cfRule type="expression" dxfId="1010" priority="2660">
      <formula>B37="ko"</formula>
    </cfRule>
  </conditionalFormatting>
  <conditionalFormatting sqref="A38">
    <cfRule type="expression" dxfId="1009" priority="2657">
      <formula>C38="ko"</formula>
    </cfRule>
    <cfRule type="expression" dxfId="1008" priority="2658">
      <formula>B38="ko"</formula>
    </cfRule>
  </conditionalFormatting>
  <conditionalFormatting sqref="A39">
    <cfRule type="expression" dxfId="1007" priority="2655">
      <formula>C39="ko"</formula>
    </cfRule>
    <cfRule type="expression" dxfId="1006" priority="2656">
      <formula>B39="ko"</formula>
    </cfRule>
  </conditionalFormatting>
  <conditionalFormatting sqref="A40">
    <cfRule type="expression" dxfId="1005" priority="2653">
      <formula>C40="ko"</formula>
    </cfRule>
    <cfRule type="expression" dxfId="1004" priority="2654">
      <formula>B40="ko"</formula>
    </cfRule>
  </conditionalFormatting>
  <conditionalFormatting sqref="A41">
    <cfRule type="expression" dxfId="1003" priority="2651">
      <formula>C41="ko"</formula>
    </cfRule>
    <cfRule type="expression" dxfId="1002" priority="2652">
      <formula>B41="ko"</formula>
    </cfRule>
  </conditionalFormatting>
  <conditionalFormatting sqref="A42">
    <cfRule type="expression" dxfId="1001" priority="2649">
      <formula>C42="ko"</formula>
    </cfRule>
    <cfRule type="expression" dxfId="1000" priority="2650">
      <formula>B42="ko"</formula>
    </cfRule>
  </conditionalFormatting>
  <conditionalFormatting sqref="H4">
    <cfRule type="expression" dxfId="999" priority="2647">
      <formula>J4="ko"</formula>
    </cfRule>
    <cfRule type="expression" dxfId="998" priority="2648">
      <formula>I4="ko"</formula>
    </cfRule>
  </conditionalFormatting>
  <conditionalFormatting sqref="H5">
    <cfRule type="expression" dxfId="997" priority="2645">
      <formula>J5="ko"</formula>
    </cfRule>
    <cfRule type="expression" dxfId="996" priority="2646">
      <formula>I5="ko"</formula>
    </cfRule>
  </conditionalFormatting>
  <conditionalFormatting sqref="H6">
    <cfRule type="expression" dxfId="995" priority="2643">
      <formula>J6="ko"</formula>
    </cfRule>
    <cfRule type="expression" dxfId="994" priority="2644">
      <formula>I6="ko"</formula>
    </cfRule>
  </conditionalFormatting>
  <conditionalFormatting sqref="H7">
    <cfRule type="expression" dxfId="993" priority="2641">
      <formula>J7="ko"</formula>
    </cfRule>
    <cfRule type="expression" dxfId="992" priority="2642">
      <formula>I7="ko"</formula>
    </cfRule>
  </conditionalFormatting>
  <conditionalFormatting sqref="H8">
    <cfRule type="expression" dxfId="991" priority="2639">
      <formula>J8="ko"</formula>
    </cfRule>
    <cfRule type="expression" dxfId="990" priority="2640">
      <formula>I8="ko"</formula>
    </cfRule>
  </conditionalFormatting>
  <conditionalFormatting sqref="H9">
    <cfRule type="expression" dxfId="989" priority="2637">
      <formula>J9="ko"</formula>
    </cfRule>
    <cfRule type="expression" dxfId="988" priority="2638">
      <formula>I9="ko"</formula>
    </cfRule>
  </conditionalFormatting>
  <conditionalFormatting sqref="H15">
    <cfRule type="expression" dxfId="987" priority="2635">
      <formula>J15="ko"</formula>
    </cfRule>
    <cfRule type="expression" dxfId="986" priority="2636">
      <formula>I15="ko"</formula>
    </cfRule>
  </conditionalFormatting>
  <conditionalFormatting sqref="H16">
    <cfRule type="expression" dxfId="985" priority="2633">
      <formula>J16="ko"</formula>
    </cfRule>
    <cfRule type="expression" dxfId="984" priority="2634">
      <formula>I16="ko"</formula>
    </cfRule>
  </conditionalFormatting>
  <conditionalFormatting sqref="H17">
    <cfRule type="expression" dxfId="983" priority="2631">
      <formula>J17="ko"</formula>
    </cfRule>
    <cfRule type="expression" dxfId="982" priority="2632">
      <formula>I17="ko"</formula>
    </cfRule>
  </conditionalFormatting>
  <conditionalFormatting sqref="H18">
    <cfRule type="expression" dxfId="981" priority="2629">
      <formula>J18="ko"</formula>
    </cfRule>
    <cfRule type="expression" dxfId="980" priority="2630">
      <formula>I18="ko"</formula>
    </cfRule>
  </conditionalFormatting>
  <conditionalFormatting sqref="H19">
    <cfRule type="expression" dxfId="979" priority="2627">
      <formula>J19="ko"</formula>
    </cfRule>
    <cfRule type="expression" dxfId="978" priority="2628">
      <formula>I19="ko"</formula>
    </cfRule>
  </conditionalFormatting>
  <conditionalFormatting sqref="H20">
    <cfRule type="expression" dxfId="977" priority="2625">
      <formula>J20="ko"</formula>
    </cfRule>
    <cfRule type="expression" dxfId="976" priority="2626">
      <formula>I20="ko"</formula>
    </cfRule>
  </conditionalFormatting>
  <conditionalFormatting sqref="H26">
    <cfRule type="expression" dxfId="975" priority="2623">
      <formula>J26="ko"</formula>
    </cfRule>
    <cfRule type="expression" dxfId="974" priority="2624">
      <formula>I26="ko"</formula>
    </cfRule>
  </conditionalFormatting>
  <conditionalFormatting sqref="H29">
    <cfRule type="expression" dxfId="973" priority="2617">
      <formula>J29="ko"</formula>
    </cfRule>
    <cfRule type="expression" dxfId="972" priority="2618">
      <formula>I29="ko"</formula>
    </cfRule>
  </conditionalFormatting>
  <conditionalFormatting sqref="H30">
    <cfRule type="expression" dxfId="971" priority="2615">
      <formula>J30="ko"</formula>
    </cfRule>
    <cfRule type="expression" dxfId="970" priority="2616">
      <formula>I30="ko"</formula>
    </cfRule>
  </conditionalFormatting>
  <conditionalFormatting sqref="H31">
    <cfRule type="expression" dxfId="969" priority="2613">
      <formula>J31="ko"</formula>
    </cfRule>
    <cfRule type="expression" dxfId="968" priority="2614">
      <formula>I31="ko"</formula>
    </cfRule>
  </conditionalFormatting>
  <conditionalFormatting sqref="H37">
    <cfRule type="expression" dxfId="967" priority="2611">
      <formula>J37="ko"</formula>
    </cfRule>
    <cfRule type="expression" dxfId="966" priority="2612">
      <formula>I37="ko"</formula>
    </cfRule>
  </conditionalFormatting>
  <conditionalFormatting sqref="H38">
    <cfRule type="expression" dxfId="965" priority="2609">
      <formula>J38="ko"</formula>
    </cfRule>
    <cfRule type="expression" dxfId="964" priority="2610">
      <formula>I38="ko"</formula>
    </cfRule>
  </conditionalFormatting>
  <conditionalFormatting sqref="H39">
    <cfRule type="expression" dxfId="963" priority="2607">
      <formula>J39="ko"</formula>
    </cfRule>
    <cfRule type="expression" dxfId="962" priority="2608">
      <formula>I39="ko"</formula>
    </cfRule>
  </conditionalFormatting>
  <conditionalFormatting sqref="H40">
    <cfRule type="expression" dxfId="961" priority="2605">
      <formula>J40="ko"</formula>
    </cfRule>
    <cfRule type="expression" dxfId="960" priority="2606">
      <formula>I40="ko"</formula>
    </cfRule>
  </conditionalFormatting>
  <conditionalFormatting sqref="H41">
    <cfRule type="expression" dxfId="959" priority="2603">
      <formula>J41="ko"</formula>
    </cfRule>
    <cfRule type="expression" dxfId="958" priority="2604">
      <formula>I41="ko"</formula>
    </cfRule>
  </conditionalFormatting>
  <conditionalFormatting sqref="H42">
    <cfRule type="expression" dxfId="957" priority="2601">
      <formula>J42="ko"</formula>
    </cfRule>
    <cfRule type="expression" dxfId="956" priority="2602">
      <formula>I42="ko"</formula>
    </cfRule>
  </conditionalFormatting>
  <conditionalFormatting sqref="O42">
    <cfRule type="expression" dxfId="955" priority="2599">
      <formula>Q42="ko"</formula>
    </cfRule>
    <cfRule type="expression" dxfId="954" priority="2600">
      <formula>P42="ko"</formula>
    </cfRule>
  </conditionalFormatting>
  <conditionalFormatting sqref="O41">
    <cfRule type="expression" dxfId="953" priority="2597">
      <formula>Q41="ko"</formula>
    </cfRule>
    <cfRule type="expression" dxfId="952" priority="2598">
      <formula>P41="ko"</formula>
    </cfRule>
  </conditionalFormatting>
  <conditionalFormatting sqref="O40">
    <cfRule type="expression" dxfId="951" priority="2595">
      <formula>Q40="ko"</formula>
    </cfRule>
    <cfRule type="expression" dxfId="950" priority="2596">
      <formula>P40="ko"</formula>
    </cfRule>
  </conditionalFormatting>
  <conditionalFormatting sqref="O39">
    <cfRule type="expression" dxfId="949" priority="2593">
      <formula>Q39="ko"</formula>
    </cfRule>
    <cfRule type="expression" dxfId="948" priority="2594">
      <formula>P39="ko"</formula>
    </cfRule>
  </conditionalFormatting>
  <conditionalFormatting sqref="O37">
    <cfRule type="expression" dxfId="947" priority="2591">
      <formula>Q37="ko"</formula>
    </cfRule>
    <cfRule type="expression" dxfId="946" priority="2592">
      <formula>P37="ko"</formula>
    </cfRule>
  </conditionalFormatting>
  <conditionalFormatting sqref="O38">
    <cfRule type="expression" dxfId="945" priority="2589">
      <formula>Q38="ko"</formula>
    </cfRule>
    <cfRule type="expression" dxfId="944" priority="2590">
      <formula>P38="ko"</formula>
    </cfRule>
  </conditionalFormatting>
  <conditionalFormatting sqref="O31">
    <cfRule type="expression" dxfId="943" priority="2587">
      <formula>Q31="ko"</formula>
    </cfRule>
    <cfRule type="expression" dxfId="942" priority="2588">
      <formula>P31="ko"</formula>
    </cfRule>
  </conditionalFormatting>
  <conditionalFormatting sqref="O30">
    <cfRule type="expression" dxfId="941" priority="2585">
      <formula>Q30="ko"</formula>
    </cfRule>
    <cfRule type="expression" dxfId="940" priority="2586">
      <formula>P30="ko"</formula>
    </cfRule>
  </conditionalFormatting>
  <conditionalFormatting sqref="O29">
    <cfRule type="expression" dxfId="939" priority="2583">
      <formula>Q29="ko"</formula>
    </cfRule>
    <cfRule type="expression" dxfId="938" priority="2584">
      <formula>P29="ko"</formula>
    </cfRule>
  </conditionalFormatting>
  <conditionalFormatting sqref="O28">
    <cfRule type="expression" dxfId="937" priority="2581">
      <formula>Q28="ko"</formula>
    </cfRule>
    <cfRule type="expression" dxfId="936" priority="2582">
      <formula>P28="ko"</formula>
    </cfRule>
  </conditionalFormatting>
  <conditionalFormatting sqref="O26">
    <cfRule type="expression" dxfId="935" priority="2579">
      <formula>Q26="ko"</formula>
    </cfRule>
    <cfRule type="expression" dxfId="934" priority="2580">
      <formula>P26="ko"</formula>
    </cfRule>
  </conditionalFormatting>
  <conditionalFormatting sqref="O27">
    <cfRule type="expression" dxfId="933" priority="2577">
      <formula>Q27="ko"</formula>
    </cfRule>
    <cfRule type="expression" dxfId="932" priority="2578">
      <formula>P27="ko"</formula>
    </cfRule>
  </conditionalFormatting>
  <conditionalFormatting sqref="O20">
    <cfRule type="expression" dxfId="931" priority="2575">
      <formula>Q20="ko"</formula>
    </cfRule>
    <cfRule type="expression" dxfId="930" priority="2576">
      <formula>P20="ko"</formula>
    </cfRule>
  </conditionalFormatting>
  <conditionalFormatting sqref="O19">
    <cfRule type="expression" dxfId="929" priority="2573">
      <formula>Q19="ko"</formula>
    </cfRule>
    <cfRule type="expression" dxfId="928" priority="2574">
      <formula>P19="ko"</formula>
    </cfRule>
  </conditionalFormatting>
  <conditionalFormatting sqref="O18">
    <cfRule type="expression" dxfId="927" priority="2571">
      <formula>Q18="ko"</formula>
    </cfRule>
    <cfRule type="expression" dxfId="926" priority="2572">
      <formula>P18="ko"</formula>
    </cfRule>
  </conditionalFormatting>
  <conditionalFormatting sqref="O17">
    <cfRule type="expression" dxfId="925" priority="2569">
      <formula>Q17="ko"</formula>
    </cfRule>
    <cfRule type="expression" dxfId="924" priority="2570">
      <formula>P17="ko"</formula>
    </cfRule>
  </conditionalFormatting>
  <conditionalFormatting sqref="O16">
    <cfRule type="expression" dxfId="923" priority="2567">
      <formula>Q16="ko"</formula>
    </cfRule>
    <cfRule type="expression" dxfId="922" priority="2568">
      <formula>P16="ko"</formula>
    </cfRule>
  </conditionalFormatting>
  <conditionalFormatting sqref="O15">
    <cfRule type="expression" dxfId="921" priority="2565">
      <formula>Q15="ko"</formula>
    </cfRule>
    <cfRule type="expression" dxfId="920" priority="2566">
      <formula>P15="ko"</formula>
    </cfRule>
  </conditionalFormatting>
  <conditionalFormatting sqref="O9">
    <cfRule type="expression" dxfId="919" priority="2563">
      <formula>Q9="ko"</formula>
    </cfRule>
    <cfRule type="expression" dxfId="918" priority="2564">
      <formula>P9="ko"</formula>
    </cfRule>
  </conditionalFormatting>
  <conditionalFormatting sqref="O8">
    <cfRule type="expression" dxfId="917" priority="2561">
      <formula>Q8="ko"</formula>
    </cfRule>
    <cfRule type="expression" dxfId="916" priority="2562">
      <formula>P8="ko"</formula>
    </cfRule>
  </conditionalFormatting>
  <conditionalFormatting sqref="O7">
    <cfRule type="expression" dxfId="915" priority="2559">
      <formula>Q7="ko"</formula>
    </cfRule>
    <cfRule type="expression" dxfId="914" priority="2560">
      <formula>P7="ko"</formula>
    </cfRule>
  </conditionalFormatting>
  <conditionalFormatting sqref="O6">
    <cfRule type="expression" dxfId="913" priority="2557">
      <formula>Q6="ko"</formula>
    </cfRule>
    <cfRule type="expression" dxfId="912" priority="2558">
      <formula>P6="ko"</formula>
    </cfRule>
  </conditionalFormatting>
  <conditionalFormatting sqref="O5">
    <cfRule type="expression" dxfId="911" priority="2555">
      <formula>Q5="ko"</formula>
    </cfRule>
    <cfRule type="expression" dxfId="910" priority="2556">
      <formula>P5="ko"</formula>
    </cfRule>
  </conditionalFormatting>
  <conditionalFormatting sqref="O4">
    <cfRule type="expression" dxfId="909" priority="2553">
      <formula>Q4="ko"</formula>
    </cfRule>
    <cfRule type="expression" dxfId="908" priority="2554">
      <formula>P4="ko"</formula>
    </cfRule>
  </conditionalFormatting>
  <conditionalFormatting sqref="V4">
    <cfRule type="expression" dxfId="907" priority="2551">
      <formula>X4="ko"</formula>
    </cfRule>
    <cfRule type="expression" dxfId="906" priority="2552">
      <formula>W4="ko"</formula>
    </cfRule>
  </conditionalFormatting>
  <conditionalFormatting sqref="V5">
    <cfRule type="expression" dxfId="905" priority="2549">
      <formula>X5="ko"</formula>
    </cfRule>
    <cfRule type="expression" dxfId="904" priority="2550">
      <formula>W5="ko"</formula>
    </cfRule>
  </conditionalFormatting>
  <conditionalFormatting sqref="V6">
    <cfRule type="expression" dxfId="903" priority="2547">
      <formula>X6="ko"</formula>
    </cfRule>
    <cfRule type="expression" dxfId="902" priority="2548">
      <formula>W6="ko"</formula>
    </cfRule>
  </conditionalFormatting>
  <conditionalFormatting sqref="V7">
    <cfRule type="expression" dxfId="901" priority="2545">
      <formula>X7="ko"</formula>
    </cfRule>
    <cfRule type="expression" dxfId="900" priority="2546">
      <formula>W7="ko"</formula>
    </cfRule>
  </conditionalFormatting>
  <conditionalFormatting sqref="V8">
    <cfRule type="expression" dxfId="899" priority="2543">
      <formula>X8="ko"</formula>
    </cfRule>
    <cfRule type="expression" dxfId="898" priority="2544">
      <formula>W8="ko"</formula>
    </cfRule>
  </conditionalFormatting>
  <conditionalFormatting sqref="V9">
    <cfRule type="expression" dxfId="897" priority="2541">
      <formula>X9="ko"</formula>
    </cfRule>
    <cfRule type="expression" dxfId="896" priority="2542">
      <formula>W9="ko"</formula>
    </cfRule>
  </conditionalFormatting>
  <conditionalFormatting sqref="V15">
    <cfRule type="expression" dxfId="895" priority="2539">
      <formula>X15="ko"</formula>
    </cfRule>
    <cfRule type="expression" dxfId="894" priority="2540">
      <formula>W15="ko"</formula>
    </cfRule>
  </conditionalFormatting>
  <conditionalFormatting sqref="V16">
    <cfRule type="expression" dxfId="893" priority="2537">
      <formula>X16="ko"</formula>
    </cfRule>
    <cfRule type="expression" dxfId="892" priority="2538">
      <formula>W16="ko"</formula>
    </cfRule>
  </conditionalFormatting>
  <conditionalFormatting sqref="V17">
    <cfRule type="expression" dxfId="891" priority="2535">
      <formula>X17="ko"</formula>
    </cfRule>
    <cfRule type="expression" dxfId="890" priority="2536">
      <formula>W17="ko"</formula>
    </cfRule>
  </conditionalFormatting>
  <conditionalFormatting sqref="V18">
    <cfRule type="expression" dxfId="889" priority="2533">
      <formula>X18="ko"</formula>
    </cfRule>
    <cfRule type="expression" dxfId="888" priority="2534">
      <formula>W18="ko"</formula>
    </cfRule>
  </conditionalFormatting>
  <conditionalFormatting sqref="V19">
    <cfRule type="expression" dxfId="887" priority="2531">
      <formula>X19="ko"</formula>
    </cfRule>
    <cfRule type="expression" dxfId="886" priority="2532">
      <formula>W19="ko"</formula>
    </cfRule>
  </conditionalFormatting>
  <conditionalFormatting sqref="V20">
    <cfRule type="expression" dxfId="885" priority="2529">
      <formula>X20="ko"</formula>
    </cfRule>
    <cfRule type="expression" dxfId="884" priority="2530">
      <formula>W20="ko"</formula>
    </cfRule>
  </conditionalFormatting>
  <conditionalFormatting sqref="V26">
    <cfRule type="expression" dxfId="883" priority="2527">
      <formula>X26="ko"</formula>
    </cfRule>
    <cfRule type="expression" dxfId="882" priority="2528">
      <formula>W26="ko"</formula>
    </cfRule>
  </conditionalFormatting>
  <conditionalFormatting sqref="V27">
    <cfRule type="expression" dxfId="881" priority="2525">
      <formula>X27="ko"</formula>
    </cfRule>
    <cfRule type="expression" dxfId="880" priority="2526">
      <formula>W27="ko"</formula>
    </cfRule>
  </conditionalFormatting>
  <conditionalFormatting sqref="V28">
    <cfRule type="expression" dxfId="879" priority="2523">
      <formula>X28="ko"</formula>
    </cfRule>
    <cfRule type="expression" dxfId="878" priority="2524">
      <formula>W28="ko"</formula>
    </cfRule>
  </conditionalFormatting>
  <conditionalFormatting sqref="V29">
    <cfRule type="expression" dxfId="877" priority="2521">
      <formula>X29="ko"</formula>
    </cfRule>
    <cfRule type="expression" dxfId="876" priority="2522">
      <formula>W29="ko"</formula>
    </cfRule>
  </conditionalFormatting>
  <conditionalFormatting sqref="V30">
    <cfRule type="expression" dxfId="875" priority="2519">
      <formula>X30="ko"</formula>
    </cfRule>
    <cfRule type="expression" dxfId="874" priority="2520">
      <formula>W30="ko"</formula>
    </cfRule>
  </conditionalFormatting>
  <conditionalFormatting sqref="V31">
    <cfRule type="expression" dxfId="873" priority="2517">
      <formula>X31="ko"</formula>
    </cfRule>
    <cfRule type="expression" dxfId="872" priority="2518">
      <formula>W31="ko"</formula>
    </cfRule>
  </conditionalFormatting>
  <conditionalFormatting sqref="V37">
    <cfRule type="expression" dxfId="871" priority="2515">
      <formula>X37="ko"</formula>
    </cfRule>
    <cfRule type="expression" dxfId="870" priority="2516">
      <formula>W37="ko"</formula>
    </cfRule>
  </conditionalFormatting>
  <conditionalFormatting sqref="V38">
    <cfRule type="expression" dxfId="869" priority="2513">
      <formula>X38="ko"</formula>
    </cfRule>
    <cfRule type="expression" dxfId="868" priority="2514">
      <formula>W38="ko"</formula>
    </cfRule>
  </conditionalFormatting>
  <conditionalFormatting sqref="V39">
    <cfRule type="expression" dxfId="867" priority="2511">
      <formula>X39="ko"</formula>
    </cfRule>
    <cfRule type="expression" dxfId="866" priority="2512">
      <formula>W39="ko"</formula>
    </cfRule>
  </conditionalFormatting>
  <conditionalFormatting sqref="V40">
    <cfRule type="expression" dxfId="865" priority="2509">
      <formula>X40="ko"</formula>
    </cfRule>
    <cfRule type="expression" dxfId="864" priority="2510">
      <formula>W40="ko"</formula>
    </cfRule>
  </conditionalFormatting>
  <conditionalFormatting sqref="V41">
    <cfRule type="expression" dxfId="863" priority="2507">
      <formula>X41="ko"</formula>
    </cfRule>
    <cfRule type="expression" dxfId="862" priority="2508">
      <formula>W41="ko"</formula>
    </cfRule>
  </conditionalFormatting>
  <conditionalFormatting sqref="V42">
    <cfRule type="expression" dxfId="861" priority="2505">
      <formula>X42="ko"</formula>
    </cfRule>
    <cfRule type="expression" dxfId="860" priority="2506">
      <formula>W42="ko"</formula>
    </cfRule>
  </conditionalFormatting>
  <conditionalFormatting sqref="AC42">
    <cfRule type="expression" dxfId="859" priority="2503">
      <formula>AE42="ko"</formula>
    </cfRule>
    <cfRule type="expression" dxfId="858" priority="2504">
      <formula>AD42="ko"</formula>
    </cfRule>
  </conditionalFormatting>
  <conditionalFormatting sqref="AC41">
    <cfRule type="expression" dxfId="857" priority="2501">
      <formula>AE41="ko"</formula>
    </cfRule>
    <cfRule type="expression" dxfId="856" priority="2502">
      <formula>AD41="ko"</formula>
    </cfRule>
  </conditionalFormatting>
  <conditionalFormatting sqref="AC40">
    <cfRule type="expression" dxfId="855" priority="2499">
      <formula>AE40="ko"</formula>
    </cfRule>
    <cfRule type="expression" dxfId="854" priority="2500">
      <formula>AD40="ko"</formula>
    </cfRule>
  </conditionalFormatting>
  <conditionalFormatting sqref="AC39">
    <cfRule type="expression" dxfId="853" priority="2497">
      <formula>AE39="ko"</formula>
    </cfRule>
    <cfRule type="expression" dxfId="852" priority="2498">
      <formula>AD39="ko"</formula>
    </cfRule>
  </conditionalFormatting>
  <conditionalFormatting sqref="AC38">
    <cfRule type="expression" dxfId="851" priority="2495">
      <formula>AE38="ko"</formula>
    </cfRule>
    <cfRule type="expression" dxfId="850" priority="2496">
      <formula>AD38="ko"</formula>
    </cfRule>
  </conditionalFormatting>
  <conditionalFormatting sqref="AC37">
    <cfRule type="expression" dxfId="849" priority="2493">
      <formula>AE37="ko"</formula>
    </cfRule>
    <cfRule type="expression" dxfId="848" priority="2494">
      <formula>AD37="ko"</formula>
    </cfRule>
  </conditionalFormatting>
  <conditionalFormatting sqref="AC31">
    <cfRule type="expression" dxfId="847" priority="2491">
      <formula>AE31="ko"</formula>
    </cfRule>
    <cfRule type="expression" dxfId="846" priority="2492">
      <formula>AD31="ko"</formula>
    </cfRule>
  </conditionalFormatting>
  <conditionalFormatting sqref="AC30">
    <cfRule type="expression" dxfId="845" priority="2489">
      <formula>AE30="ko"</formula>
    </cfRule>
    <cfRule type="expression" dxfId="844" priority="2490">
      <formula>AD30="ko"</formula>
    </cfRule>
  </conditionalFormatting>
  <conditionalFormatting sqref="AC29">
    <cfRule type="expression" dxfId="843" priority="2487">
      <formula>AE29="ko"</formula>
    </cfRule>
    <cfRule type="expression" dxfId="842" priority="2488">
      <formula>AD29="ko"</formula>
    </cfRule>
  </conditionalFormatting>
  <conditionalFormatting sqref="AC28">
    <cfRule type="expression" dxfId="841" priority="2485">
      <formula>AE28="ko"</formula>
    </cfRule>
    <cfRule type="expression" dxfId="840" priority="2486">
      <formula>AD28="ko"</formula>
    </cfRule>
  </conditionalFormatting>
  <conditionalFormatting sqref="AC27">
    <cfRule type="expression" dxfId="839" priority="2483">
      <formula>AE27="ko"</formula>
    </cfRule>
    <cfRule type="expression" dxfId="838" priority="2484">
      <formula>AD27="ko"</formula>
    </cfRule>
  </conditionalFormatting>
  <conditionalFormatting sqref="AC26">
    <cfRule type="expression" dxfId="837" priority="2481">
      <formula>AE26="ko"</formula>
    </cfRule>
    <cfRule type="expression" dxfId="836" priority="2482">
      <formula>AD26="ko"</formula>
    </cfRule>
  </conditionalFormatting>
  <conditionalFormatting sqref="AC20">
    <cfRule type="expression" dxfId="835" priority="2479">
      <formula>AE20="ko"</formula>
    </cfRule>
    <cfRule type="expression" dxfId="834" priority="2480">
      <formula>AD20="ko"</formula>
    </cfRule>
  </conditionalFormatting>
  <conditionalFormatting sqref="AC19">
    <cfRule type="expression" dxfId="833" priority="2477">
      <formula>AE19="ko"</formula>
    </cfRule>
    <cfRule type="expression" dxfId="832" priority="2478">
      <formula>AD19="ko"</formula>
    </cfRule>
  </conditionalFormatting>
  <conditionalFormatting sqref="AC18">
    <cfRule type="expression" dxfId="831" priority="2475">
      <formula>AE18="ko"</formula>
    </cfRule>
    <cfRule type="expression" dxfId="830" priority="2476">
      <formula>AD18="ko"</formula>
    </cfRule>
  </conditionalFormatting>
  <conditionalFormatting sqref="AC17">
    <cfRule type="expression" dxfId="829" priority="2473">
      <formula>AE17="ko"</formula>
    </cfRule>
    <cfRule type="expression" dxfId="828" priority="2474">
      <formula>AD17="ko"</formula>
    </cfRule>
  </conditionalFormatting>
  <conditionalFormatting sqref="AC16">
    <cfRule type="expression" dxfId="827" priority="2471">
      <formula>AE16="ko"</formula>
    </cfRule>
    <cfRule type="expression" dxfId="826" priority="2472">
      <formula>AD16="ko"</formula>
    </cfRule>
  </conditionalFormatting>
  <conditionalFormatting sqref="AC15">
    <cfRule type="expression" dxfId="825" priority="2469">
      <formula>AE15="ko"</formula>
    </cfRule>
    <cfRule type="expression" dxfId="824" priority="2470">
      <formula>AD15="ko"</formula>
    </cfRule>
  </conditionalFormatting>
  <conditionalFormatting sqref="AC9">
    <cfRule type="expression" dxfId="823" priority="2467">
      <formula>AE9="ko"</formula>
    </cfRule>
    <cfRule type="expression" dxfId="822" priority="2468">
      <formula>AD9="ko"</formula>
    </cfRule>
  </conditionalFormatting>
  <conditionalFormatting sqref="AC8">
    <cfRule type="expression" dxfId="821" priority="2465">
      <formula>AE8="ko"</formula>
    </cfRule>
    <cfRule type="expression" dxfId="820" priority="2466">
      <formula>AD8="ko"</formula>
    </cfRule>
  </conditionalFormatting>
  <conditionalFormatting sqref="AC7">
    <cfRule type="expression" dxfId="819" priority="2463">
      <formula>AE7="ko"</formula>
    </cfRule>
    <cfRule type="expression" dxfId="818" priority="2464">
      <formula>AD7="ko"</formula>
    </cfRule>
  </conditionalFormatting>
  <conditionalFormatting sqref="AC6">
    <cfRule type="expression" dxfId="817" priority="2461">
      <formula>AE6="ko"</formula>
    </cfRule>
    <cfRule type="expression" dxfId="816" priority="2462">
      <formula>AD6="ko"</formula>
    </cfRule>
  </conditionalFormatting>
  <conditionalFormatting sqref="AC5">
    <cfRule type="expression" dxfId="815" priority="2459">
      <formula>AE5="ko"</formula>
    </cfRule>
    <cfRule type="expression" dxfId="814" priority="2460">
      <formula>AD5="ko"</formula>
    </cfRule>
  </conditionalFormatting>
  <conditionalFormatting sqref="AC4">
    <cfRule type="expression" dxfId="813" priority="2457">
      <formula>AE4="ko"</formula>
    </cfRule>
    <cfRule type="expression" dxfId="812" priority="2458">
      <formula>AD4="ko"</formula>
    </cfRule>
  </conditionalFormatting>
  <conditionalFormatting sqref="AJ4">
    <cfRule type="expression" dxfId="811" priority="2455">
      <formula>AL4="ko"</formula>
    </cfRule>
    <cfRule type="expression" dxfId="810" priority="2456">
      <formula>AK4="ko"</formula>
    </cfRule>
  </conditionalFormatting>
  <conditionalFormatting sqref="AJ5">
    <cfRule type="expression" dxfId="809" priority="2453">
      <formula>AL5="ko"</formula>
    </cfRule>
    <cfRule type="expression" dxfId="808" priority="2454">
      <formula>AK5="ko"</formula>
    </cfRule>
  </conditionalFormatting>
  <conditionalFormatting sqref="AJ6">
    <cfRule type="expression" dxfId="807" priority="2451">
      <formula>AL6="ko"</formula>
    </cfRule>
    <cfRule type="expression" dxfId="806" priority="2452">
      <formula>AK6="ko"</formula>
    </cfRule>
  </conditionalFormatting>
  <conditionalFormatting sqref="AJ15">
    <cfRule type="expression" dxfId="805" priority="2449">
      <formula>AL15="ko"</formula>
    </cfRule>
    <cfRule type="expression" dxfId="804" priority="2450">
      <formula>AK15="ko"</formula>
    </cfRule>
  </conditionalFormatting>
  <conditionalFormatting sqref="AJ16">
    <cfRule type="expression" dxfId="803" priority="2447">
      <formula>AL16="ko"</formula>
    </cfRule>
    <cfRule type="expression" dxfId="802" priority="2448">
      <formula>AK16="ko"</formula>
    </cfRule>
  </conditionalFormatting>
  <conditionalFormatting sqref="AJ17">
    <cfRule type="expression" dxfId="801" priority="2445">
      <formula>AL17="ko"</formula>
    </cfRule>
    <cfRule type="expression" dxfId="800" priority="2446">
      <formula>AK17="ko"</formula>
    </cfRule>
  </conditionalFormatting>
  <conditionalFormatting sqref="AJ26">
    <cfRule type="expression" dxfId="799" priority="2443">
      <formula>AL26="ko"</formula>
    </cfRule>
    <cfRule type="expression" dxfId="798" priority="2444">
      <formula>AK26="ko"</formula>
    </cfRule>
  </conditionalFormatting>
  <conditionalFormatting sqref="AJ27">
    <cfRule type="expression" dxfId="797" priority="2441">
      <formula>AL27="ko"</formula>
    </cfRule>
    <cfRule type="expression" dxfId="796" priority="2442">
      <formula>AK27="ko"</formula>
    </cfRule>
  </conditionalFormatting>
  <conditionalFormatting sqref="AJ28">
    <cfRule type="expression" dxfId="795" priority="2439">
      <formula>AL28="ko"</formula>
    </cfRule>
    <cfRule type="expression" dxfId="794" priority="2440">
      <formula>AK28="ko"</formula>
    </cfRule>
  </conditionalFormatting>
  <conditionalFormatting sqref="AJ37">
    <cfRule type="expression" dxfId="793" priority="2437">
      <formula>AL37="ko"</formula>
    </cfRule>
    <cfRule type="expression" dxfId="792" priority="2438">
      <formula>AK37="ko"</formula>
    </cfRule>
  </conditionalFormatting>
  <conditionalFormatting sqref="AJ38">
    <cfRule type="expression" dxfId="791" priority="2435">
      <formula>AL38="ko"</formula>
    </cfRule>
    <cfRule type="expression" dxfId="790" priority="2436">
      <formula>AK38="ko"</formula>
    </cfRule>
  </conditionalFormatting>
  <conditionalFormatting sqref="AJ39:AJ42">
    <cfRule type="expression" dxfId="789" priority="2433">
      <formula>AL39="ko"</formula>
    </cfRule>
    <cfRule type="expression" dxfId="788" priority="2434">
      <formula>AK39="ko"</formula>
    </cfRule>
  </conditionalFormatting>
  <conditionalFormatting sqref="AD26">
    <cfRule type="cellIs" dxfId="787" priority="2413" operator="notEqual">
      <formula>$A$3</formula>
    </cfRule>
    <cfRule type="expression" dxfId="786" priority="2414">
      <formula>AF26="ok"</formula>
    </cfRule>
    <cfRule type="expression" dxfId="785" priority="2415">
      <formula>AG26="ok"</formula>
    </cfRule>
    <cfRule type="expression" dxfId="784" priority="2416">
      <formula>AD26=$A$3</formula>
    </cfRule>
  </conditionalFormatting>
  <conditionalFormatting sqref="W26">
    <cfRule type="cellIs" dxfId="783" priority="2409" operator="notEqual">
      <formula>$A$3</formula>
    </cfRule>
    <cfRule type="expression" dxfId="782" priority="2410">
      <formula>Y26="ok"</formula>
    </cfRule>
    <cfRule type="expression" dxfId="781" priority="2411">
      <formula>Z26="ok"</formula>
    </cfRule>
    <cfRule type="expression" dxfId="780" priority="2412">
      <formula>W26=$A$3</formula>
    </cfRule>
  </conditionalFormatting>
  <conditionalFormatting sqref="X42">
    <cfRule type="cellIs" dxfId="779" priority="2377" operator="notEqual">
      <formula>$A$3</formula>
    </cfRule>
    <cfRule type="expression" dxfId="778" priority="2378">
      <formula>AA42="ok"</formula>
    </cfRule>
    <cfRule type="expression" dxfId="777" priority="2379">
      <formula>AB42="ok"</formula>
    </cfRule>
    <cfRule type="expression" dxfId="776" priority="2380">
      <formula>X42=$A$3</formula>
    </cfRule>
  </conditionalFormatting>
  <conditionalFormatting sqref="X38:X40">
    <cfRule type="cellIs" dxfId="775" priority="2357" operator="notEqual">
      <formula>$A$3</formula>
    </cfRule>
    <cfRule type="expression" dxfId="774" priority="2358">
      <formula>AA38="ok"</formula>
    </cfRule>
    <cfRule type="expression" dxfId="773" priority="2359">
      <formula>AB38="ok"</formula>
    </cfRule>
    <cfRule type="expression" dxfId="772" priority="2360">
      <formula>X38=$A$3</formula>
    </cfRule>
  </conditionalFormatting>
  <conditionalFormatting sqref="C26">
    <cfRule type="cellIs" dxfId="771" priority="1983" operator="notEqual">
      <formula>$A$3</formula>
    </cfRule>
    <cfRule type="expression" dxfId="770" priority="1984">
      <formula>F26="ok"</formula>
    </cfRule>
    <cfRule type="expression" dxfId="769" priority="1985">
      <formula>G26="ok"</formula>
    </cfRule>
    <cfRule type="expression" dxfId="768" priority="1986">
      <formula>C26=$A$3</formula>
    </cfRule>
  </conditionalFormatting>
  <conditionalFormatting sqref="B31">
    <cfRule type="cellIs" dxfId="767" priority="1903" operator="notEqual">
      <formula>$A$3</formula>
    </cfRule>
    <cfRule type="expression" dxfId="766" priority="1904">
      <formula>D31="ok"</formula>
    </cfRule>
    <cfRule type="expression" dxfId="765" priority="1905">
      <formula>E31="ok"</formula>
    </cfRule>
    <cfRule type="expression" dxfId="764" priority="1906">
      <formula>B31=$A$3</formula>
    </cfRule>
  </conditionalFormatting>
  <conditionalFormatting sqref="I29">
    <cfRule type="cellIs" dxfId="763" priority="1871" operator="notEqual">
      <formula>$A$3</formula>
    </cfRule>
    <cfRule type="expression" dxfId="762" priority="1872">
      <formula>K29="ok"</formula>
    </cfRule>
    <cfRule type="expression" dxfId="761" priority="1873">
      <formula>L29="ok"</formula>
    </cfRule>
    <cfRule type="expression" dxfId="760" priority="1874">
      <formula>I29=$A$3</formula>
    </cfRule>
  </conditionalFormatting>
  <conditionalFormatting sqref="Q42">
    <cfRule type="cellIs" dxfId="759" priority="1863" operator="notEqual">
      <formula>$A$3</formula>
    </cfRule>
    <cfRule type="expression" dxfId="758" priority="1864">
      <formula>T42="ok"</formula>
    </cfRule>
    <cfRule type="expression" dxfId="757" priority="1865">
      <formula>U42="ok"</formula>
    </cfRule>
    <cfRule type="expression" dxfId="756" priority="1866">
      <formula>Q42=$A$3</formula>
    </cfRule>
  </conditionalFormatting>
  <conditionalFormatting sqref="Q40">
    <cfRule type="cellIs" dxfId="755" priority="1859" operator="notEqual">
      <formula>$A$3</formula>
    </cfRule>
    <cfRule type="expression" dxfId="754" priority="1860">
      <formula>T40="ok"</formula>
    </cfRule>
    <cfRule type="expression" dxfId="753" priority="1861">
      <formula>U40="ok"</formula>
    </cfRule>
    <cfRule type="expression" dxfId="752" priority="1862">
      <formula>Q40=$A$3</formula>
    </cfRule>
  </conditionalFormatting>
  <conditionalFormatting sqref="B26:B31">
    <cfRule type="cellIs" dxfId="751" priority="1791" operator="notEqual">
      <formula>$A$3</formula>
    </cfRule>
    <cfRule type="expression" dxfId="750" priority="1792">
      <formula>D26="ok"</formula>
    </cfRule>
    <cfRule type="expression" dxfId="749" priority="1793">
      <formula>E26="ok"</formula>
    </cfRule>
    <cfRule type="expression" dxfId="748" priority="1794">
      <formula>B26=$A$3</formula>
    </cfRule>
  </conditionalFormatting>
  <conditionalFormatting sqref="I30">
    <cfRule type="cellIs" dxfId="747" priority="1767" operator="notEqual">
      <formula>$A$3</formula>
    </cfRule>
    <cfRule type="expression" dxfId="746" priority="1768">
      <formula>L30="ok"</formula>
    </cfRule>
    <cfRule type="expression" dxfId="745" priority="1769">
      <formula>M30="ok"</formula>
    </cfRule>
    <cfRule type="expression" dxfId="744" priority="1770">
      <formula>I30=$A$3</formula>
    </cfRule>
  </conditionalFormatting>
  <conditionalFormatting sqref="AD30">
    <cfRule type="cellIs" dxfId="743" priority="1759" operator="notEqual">
      <formula>$A$3</formula>
    </cfRule>
    <cfRule type="expression" dxfId="742" priority="1760">
      <formula>AF30="ok"</formula>
    </cfRule>
    <cfRule type="expression" dxfId="741" priority="1761">
      <formula>AG30="ok"</formula>
    </cfRule>
    <cfRule type="expression" dxfId="740" priority="1762">
      <formula>AD30=$A$3</formula>
    </cfRule>
  </conditionalFormatting>
  <conditionalFormatting sqref="W30">
    <cfRule type="cellIs" dxfId="739" priority="1727" operator="notEqual">
      <formula>$A$3</formula>
    </cfRule>
    <cfRule type="expression" dxfId="738" priority="1728">
      <formula>Y30="ok"</formula>
    </cfRule>
    <cfRule type="expression" dxfId="737" priority="1729">
      <formula>Z30="ok"</formula>
    </cfRule>
    <cfRule type="expression" dxfId="736" priority="1730">
      <formula>W30=$A$3</formula>
    </cfRule>
  </conditionalFormatting>
  <conditionalFormatting sqref="AD28">
    <cfRule type="cellIs" dxfId="735" priority="1703" operator="notEqual">
      <formula>$A$3</formula>
    </cfRule>
    <cfRule type="expression" dxfId="734" priority="1704">
      <formula>AF28="ok"</formula>
    </cfRule>
    <cfRule type="expression" dxfId="733" priority="1705">
      <formula>AG28="ok"</formula>
    </cfRule>
    <cfRule type="expression" dxfId="732" priority="1706">
      <formula>AD28=$A$3</formula>
    </cfRule>
  </conditionalFormatting>
  <conditionalFormatting sqref="AL26">
    <cfRule type="cellIs" dxfId="731" priority="1691" operator="notEqual">
      <formula>$A$3</formula>
    </cfRule>
    <cfRule type="expression" dxfId="730" priority="1692">
      <formula>AO26="ok"</formula>
    </cfRule>
    <cfRule type="expression" dxfId="729" priority="1693">
      <formula>AP26="ok"</formula>
    </cfRule>
    <cfRule type="expression" dxfId="728" priority="1694">
      <formula>AL26=$A$3</formula>
    </cfRule>
  </conditionalFormatting>
  <conditionalFormatting sqref="AE42">
    <cfRule type="cellIs" dxfId="727" priority="1579" operator="notEqual">
      <formula>$A$3</formula>
    </cfRule>
    <cfRule type="expression" dxfId="726" priority="1580">
      <formula>AH42="ok"</formula>
    </cfRule>
    <cfRule type="expression" dxfId="725" priority="1581">
      <formula>AI42="ok"</formula>
    </cfRule>
    <cfRule type="expression" dxfId="724" priority="1582">
      <formula>AE42=$A$3</formula>
    </cfRule>
  </conditionalFormatting>
  <conditionalFormatting sqref="AE37">
    <cfRule type="cellIs" dxfId="723" priority="1571" operator="notEqual">
      <formula>$A$3</formula>
    </cfRule>
    <cfRule type="expression" dxfId="722" priority="1572">
      <formula>AH37="ok"</formula>
    </cfRule>
    <cfRule type="expression" dxfId="721" priority="1573">
      <formula>AI37="ok"</formula>
    </cfRule>
    <cfRule type="expression" dxfId="720" priority="1574">
      <formula>AE37=$A$3</formula>
    </cfRule>
  </conditionalFormatting>
  <conditionalFormatting sqref="B30">
    <cfRule type="cellIs" dxfId="719" priority="1519" operator="notEqual">
      <formula>$A$3</formula>
    </cfRule>
    <cfRule type="expression" dxfId="718" priority="1520">
      <formula>D30="ok"</formula>
    </cfRule>
    <cfRule type="expression" dxfId="717" priority="1521">
      <formula>E30="ok"</formula>
    </cfRule>
    <cfRule type="expression" dxfId="716" priority="1522">
      <formula>B30=$A$3</formula>
    </cfRule>
  </conditionalFormatting>
  <conditionalFormatting sqref="B28">
    <cfRule type="cellIs" dxfId="715" priority="1515" operator="notEqual">
      <formula>$A$3</formula>
    </cfRule>
    <cfRule type="expression" dxfId="714" priority="1516">
      <formula>D28="ok"</formula>
    </cfRule>
    <cfRule type="expression" dxfId="713" priority="1517">
      <formula>E28="ok"</formula>
    </cfRule>
    <cfRule type="expression" dxfId="712" priority="1518">
      <formula>B28=$A$3</formula>
    </cfRule>
  </conditionalFormatting>
  <conditionalFormatting sqref="B27">
    <cfRule type="cellIs" dxfId="711" priority="1495" operator="notEqual">
      <formula>$A$3</formula>
    </cfRule>
    <cfRule type="expression" dxfId="710" priority="1496">
      <formula>E27="ok"</formula>
    </cfRule>
    <cfRule type="expression" dxfId="709" priority="1497">
      <formula>F27="ok"</formula>
    </cfRule>
    <cfRule type="expression" dxfId="708" priority="1498">
      <formula>B27=$A$3</formula>
    </cfRule>
  </conditionalFormatting>
  <conditionalFormatting sqref="B29">
    <cfRule type="cellIs" dxfId="707" priority="1491" operator="notEqual">
      <formula>$A$3</formula>
    </cfRule>
    <cfRule type="expression" dxfId="706" priority="1492">
      <formula>E29="ok"</formula>
    </cfRule>
    <cfRule type="expression" dxfId="705" priority="1493">
      <formula>F29="ok"</formula>
    </cfRule>
    <cfRule type="expression" dxfId="704" priority="1494">
      <formula>B29=$A$3</formula>
    </cfRule>
  </conditionalFormatting>
  <conditionalFormatting sqref="Q29">
    <cfRule type="cellIs" dxfId="703" priority="1471" operator="notEqual">
      <formula>$A$3</formula>
    </cfRule>
    <cfRule type="expression" dxfId="702" priority="1472">
      <formula>T29="ok"</formula>
    </cfRule>
    <cfRule type="expression" dxfId="701" priority="1473">
      <formula>U29="ok"</formula>
    </cfRule>
    <cfRule type="expression" dxfId="700" priority="1474">
      <formula>Q29=$A$3</formula>
    </cfRule>
  </conditionalFormatting>
  <conditionalFormatting sqref="Q27">
    <cfRule type="cellIs" dxfId="699" priority="1463" operator="notEqual">
      <formula>$A$3</formula>
    </cfRule>
    <cfRule type="expression" dxfId="698" priority="1464">
      <formula>T27="ok"</formula>
    </cfRule>
    <cfRule type="expression" dxfId="697" priority="1465">
      <formula>U27="ok"</formula>
    </cfRule>
    <cfRule type="expression" dxfId="696" priority="1466">
      <formula>Q27=$A$3</formula>
    </cfRule>
  </conditionalFormatting>
  <conditionalFormatting sqref="P38">
    <cfRule type="cellIs" dxfId="695" priority="1443" operator="notEqual">
      <formula>$A$3</formula>
    </cfRule>
    <cfRule type="expression" dxfId="694" priority="1444">
      <formula>R38="ok"</formula>
    </cfRule>
    <cfRule type="expression" dxfId="693" priority="1445">
      <formula>S38="ok"</formula>
    </cfRule>
    <cfRule type="expression" dxfId="692" priority="1446">
      <formula>P38=$A$3</formula>
    </cfRule>
  </conditionalFormatting>
  <conditionalFormatting sqref="P39">
    <cfRule type="cellIs" dxfId="691" priority="1439" operator="notEqual">
      <formula>$A$3</formula>
    </cfRule>
    <cfRule type="expression" dxfId="690" priority="1440">
      <formula>R39="ok"</formula>
    </cfRule>
    <cfRule type="expression" dxfId="689" priority="1441">
      <formula>S39="ok"</formula>
    </cfRule>
    <cfRule type="expression" dxfId="688" priority="1442">
      <formula>P39=$A$3</formula>
    </cfRule>
  </conditionalFormatting>
  <conditionalFormatting sqref="P40">
    <cfRule type="cellIs" dxfId="687" priority="1435" operator="notEqual">
      <formula>$A$3</formula>
    </cfRule>
    <cfRule type="expression" dxfId="686" priority="1436">
      <formula>R40="ok"</formula>
    </cfRule>
    <cfRule type="expression" dxfId="685" priority="1437">
      <formula>S40="ok"</formula>
    </cfRule>
    <cfRule type="expression" dxfId="684" priority="1438">
      <formula>P40=$A$3</formula>
    </cfRule>
  </conditionalFormatting>
  <conditionalFormatting sqref="P41">
    <cfRule type="cellIs" dxfId="683" priority="1431" operator="notEqual">
      <formula>$A$3</formula>
    </cfRule>
    <cfRule type="expression" dxfId="682" priority="1432">
      <formula>R41="ok"</formula>
    </cfRule>
    <cfRule type="expression" dxfId="681" priority="1433">
      <formula>S41="ok"</formula>
    </cfRule>
    <cfRule type="expression" dxfId="680" priority="1434">
      <formula>P41=$A$3</formula>
    </cfRule>
  </conditionalFormatting>
  <conditionalFormatting sqref="W39">
    <cfRule type="cellIs" dxfId="679" priority="1399" operator="notEqual">
      <formula>$A$3</formula>
    </cfRule>
    <cfRule type="expression" dxfId="678" priority="1400">
      <formula>Y39="ok"</formula>
    </cfRule>
    <cfRule type="expression" dxfId="677" priority="1401">
      <formula>Z39="ok"</formula>
    </cfRule>
    <cfRule type="expression" dxfId="676" priority="1402">
      <formula>W39=$A$3</formula>
    </cfRule>
  </conditionalFormatting>
  <conditionalFormatting sqref="C26:C31">
    <cfRule type="cellIs" dxfId="675" priority="1367" operator="notEqual">
      <formula>$A$3</formula>
    </cfRule>
    <cfRule type="expression" dxfId="674" priority="1368">
      <formula>F26="ok"</formula>
    </cfRule>
    <cfRule type="expression" dxfId="673" priority="1369">
      <formula>G26="ok"</formula>
    </cfRule>
    <cfRule type="expression" dxfId="672" priority="1370">
      <formula>C26=$A$3</formula>
    </cfRule>
  </conditionalFormatting>
  <conditionalFormatting sqref="B27:B31">
    <cfRule type="cellIs" dxfId="671" priority="1363" operator="notEqual">
      <formula>$A$3</formula>
    </cfRule>
    <cfRule type="expression" dxfId="670" priority="1364">
      <formula>D27="ok"</formula>
    </cfRule>
    <cfRule type="expression" dxfId="669" priority="1365">
      <formula>E27="ok"</formula>
    </cfRule>
    <cfRule type="expression" dxfId="668" priority="1366">
      <formula>B27=$A$3</formula>
    </cfRule>
  </conditionalFormatting>
  <conditionalFormatting sqref="I30">
    <cfRule type="cellIs" dxfId="667" priority="1355" operator="notEqual">
      <formula>$A$3</formula>
    </cfRule>
    <cfRule type="expression" dxfId="666" priority="1356">
      <formula>L30="ok"</formula>
    </cfRule>
    <cfRule type="expression" dxfId="665" priority="1357">
      <formula>M30="ok"</formula>
    </cfRule>
    <cfRule type="expression" dxfId="664" priority="1358">
      <formula>I30=$A$3</formula>
    </cfRule>
  </conditionalFormatting>
  <conditionalFormatting sqref="I30">
    <cfRule type="cellIs" dxfId="663" priority="1351" operator="notEqual">
      <formula>$A$3</formula>
    </cfRule>
    <cfRule type="expression" dxfId="662" priority="1352">
      <formula>K30="ok"</formula>
    </cfRule>
    <cfRule type="expression" dxfId="661" priority="1353">
      <formula>L30="ok"</formula>
    </cfRule>
    <cfRule type="expression" dxfId="660" priority="1354">
      <formula>I30=$A$3</formula>
    </cfRule>
  </conditionalFormatting>
  <conditionalFormatting sqref="X29:X30">
    <cfRule type="cellIs" dxfId="659" priority="1343" operator="notEqual">
      <formula>$A$3</formula>
    </cfRule>
    <cfRule type="expression" dxfId="658" priority="1344">
      <formula>AA29="ok"</formula>
    </cfRule>
    <cfRule type="expression" dxfId="657" priority="1345">
      <formula>AB29="ok"</formula>
    </cfRule>
    <cfRule type="expression" dxfId="656" priority="1346">
      <formula>X29=$A$3</formula>
    </cfRule>
  </conditionalFormatting>
  <conditionalFormatting sqref="X26">
    <cfRule type="cellIs" dxfId="655" priority="1339" operator="notEqual">
      <formula>$A$3</formula>
    </cfRule>
    <cfRule type="expression" dxfId="654" priority="1340">
      <formula>AA26="ok"</formula>
    </cfRule>
    <cfRule type="expression" dxfId="653" priority="1341">
      <formula>AB26="ok"</formula>
    </cfRule>
    <cfRule type="expression" dxfId="652" priority="1342">
      <formula>X26=$A$3</formula>
    </cfRule>
  </conditionalFormatting>
  <conditionalFormatting sqref="AE30">
    <cfRule type="cellIs" dxfId="651" priority="1335" operator="notEqual">
      <formula>$A$3</formula>
    </cfRule>
    <cfRule type="expression" dxfId="650" priority="1336">
      <formula>AH30="ok"</formula>
    </cfRule>
    <cfRule type="expression" dxfId="649" priority="1337">
      <formula>AI30="ok"</formula>
    </cfRule>
    <cfRule type="expression" dxfId="648" priority="1338">
      <formula>AE30=$A$3</formula>
    </cfRule>
  </conditionalFormatting>
  <conditionalFormatting sqref="AE26:AE28">
    <cfRule type="cellIs" dxfId="647" priority="1331" operator="notEqual">
      <formula>$A$3</formula>
    </cfRule>
    <cfRule type="expression" dxfId="646" priority="1332">
      <formula>AH26="ok"</formula>
    </cfRule>
    <cfRule type="expression" dxfId="645" priority="1333">
      <formula>AI26="ok"</formula>
    </cfRule>
    <cfRule type="expression" dxfId="644" priority="1334">
      <formula>AE26=$A$3</formula>
    </cfRule>
  </conditionalFormatting>
  <conditionalFormatting sqref="AK28">
    <cfRule type="cellIs" dxfId="643" priority="1327" operator="notEqual">
      <formula>$A$3</formula>
    </cfRule>
    <cfRule type="expression" dxfId="642" priority="1328">
      <formula>AM28="ok"</formula>
    </cfRule>
    <cfRule type="expression" dxfId="641" priority="1329">
      <formula>AN28="ok"</formula>
    </cfRule>
    <cfRule type="expression" dxfId="640" priority="1330">
      <formula>AK28=$A$3</formula>
    </cfRule>
  </conditionalFormatting>
  <conditionalFormatting sqref="Q37:Q39 Q41">
    <cfRule type="cellIs" dxfId="639" priority="1311" operator="notEqual">
      <formula>$A$3</formula>
    </cfRule>
    <cfRule type="expression" dxfId="638" priority="1312">
      <formula>T37="ok"</formula>
    </cfRule>
    <cfRule type="expression" dxfId="637" priority="1313">
      <formula>U37="ok"</formula>
    </cfRule>
    <cfRule type="expression" dxfId="636" priority="1314">
      <formula>Q37=$A$3</formula>
    </cfRule>
  </conditionalFormatting>
  <conditionalFormatting sqref="P42">
    <cfRule type="cellIs" dxfId="635" priority="1307" operator="notEqual">
      <formula>$A$3</formula>
    </cfRule>
    <cfRule type="expression" dxfId="634" priority="1308">
      <formula>R42="ok"</formula>
    </cfRule>
    <cfRule type="expression" dxfId="633" priority="1309">
      <formula>S42="ok"</formula>
    </cfRule>
    <cfRule type="expression" dxfId="632" priority="1310">
      <formula>P42=$A$3</formula>
    </cfRule>
  </conditionalFormatting>
  <conditionalFormatting sqref="W38">
    <cfRule type="cellIs" dxfId="631" priority="1303" operator="notEqual">
      <formula>$A$3</formula>
    </cfRule>
    <cfRule type="expression" dxfId="630" priority="1304">
      <formula>Y38="ok"</formula>
    </cfRule>
    <cfRule type="expression" dxfId="629" priority="1305">
      <formula>Z38="ok"</formula>
    </cfRule>
    <cfRule type="expression" dxfId="628" priority="1306">
      <formula>W38=$A$3</formula>
    </cfRule>
  </conditionalFormatting>
  <conditionalFormatting sqref="X41">
    <cfRule type="cellIs" dxfId="627" priority="1291" operator="notEqual">
      <formula>$A$3</formula>
    </cfRule>
    <cfRule type="expression" dxfId="626" priority="1292">
      <formula>AA41="ok"</formula>
    </cfRule>
    <cfRule type="expression" dxfId="625" priority="1293">
      <formula>AB41="ok"</formula>
    </cfRule>
    <cfRule type="expression" dxfId="624" priority="1294">
      <formula>X41=$A$3</formula>
    </cfRule>
  </conditionalFormatting>
  <conditionalFormatting sqref="X37">
    <cfRule type="cellIs" dxfId="623" priority="1287" operator="notEqual">
      <formula>$A$3</formula>
    </cfRule>
    <cfRule type="expression" dxfId="622" priority="1288">
      <formula>AA37="ok"</formula>
    </cfRule>
    <cfRule type="expression" dxfId="621" priority="1289">
      <formula>AB37="ok"</formula>
    </cfRule>
    <cfRule type="expression" dxfId="620" priority="1290">
      <formula>X37=$A$3</formula>
    </cfRule>
  </conditionalFormatting>
  <conditionalFormatting sqref="AD37">
    <cfRule type="cellIs" dxfId="619" priority="1283" operator="notEqual">
      <formula>$A$3</formula>
    </cfRule>
    <cfRule type="expression" dxfId="618" priority="1284">
      <formula>AF37="ok"</formula>
    </cfRule>
    <cfRule type="expression" dxfId="617" priority="1285">
      <formula>AG37="ok"</formula>
    </cfRule>
    <cfRule type="expression" dxfId="616" priority="1286">
      <formula>AD37=$A$3</formula>
    </cfRule>
  </conditionalFormatting>
  <conditionalFormatting sqref="AD38:AD42">
    <cfRule type="cellIs" dxfId="615" priority="1275" operator="notEqual">
      <formula>$A$3</formula>
    </cfRule>
    <cfRule type="expression" dxfId="614" priority="1276">
      <formula>AF38="ok"</formula>
    </cfRule>
    <cfRule type="expression" dxfId="613" priority="1277">
      <formula>AG38="ok"</formula>
    </cfRule>
    <cfRule type="expression" dxfId="612" priority="1278">
      <formula>AD38=$A$3</formula>
    </cfRule>
  </conditionalFormatting>
  <conditionalFormatting sqref="AL38">
    <cfRule type="cellIs" dxfId="611" priority="1271" operator="notEqual">
      <formula>$A$3</formula>
    </cfRule>
    <cfRule type="expression" dxfId="610" priority="1272">
      <formula>AO38="ok"</formula>
    </cfRule>
    <cfRule type="expression" dxfId="609" priority="1273">
      <formula>AP38="ok"</formula>
    </cfRule>
    <cfRule type="expression" dxfId="608" priority="1274">
      <formula>AL38=$A$3</formula>
    </cfRule>
  </conditionalFormatting>
  <conditionalFormatting sqref="AK38:AK39">
    <cfRule type="cellIs" dxfId="607" priority="1267" operator="notEqual">
      <formula>$A$3</formula>
    </cfRule>
    <cfRule type="expression" dxfId="606" priority="1268">
      <formula>AM38="ok"</formula>
    </cfRule>
    <cfRule type="expression" dxfId="605" priority="1269">
      <formula>AN38="ok"</formula>
    </cfRule>
    <cfRule type="expression" dxfId="604" priority="1270">
      <formula>AK38=$A$3</formula>
    </cfRule>
  </conditionalFormatting>
  <conditionalFormatting sqref="Q31">
    <cfRule type="cellIs" dxfId="603" priority="1227" operator="notEqual">
      <formula>$A$3</formula>
    </cfRule>
    <cfRule type="expression" dxfId="602" priority="1228">
      <formula>T31="ok"</formula>
    </cfRule>
    <cfRule type="expression" dxfId="601" priority="1229">
      <formula>U31="ok"</formula>
    </cfRule>
    <cfRule type="expression" dxfId="600" priority="1230">
      <formula>Q31=$A$3</formula>
    </cfRule>
  </conditionalFormatting>
  <conditionalFormatting sqref="P27:P28">
    <cfRule type="cellIs" dxfId="599" priority="1211" operator="notEqual">
      <formula>$A$3</formula>
    </cfRule>
    <cfRule type="expression" dxfId="598" priority="1212">
      <formula>R27="ok"</formula>
    </cfRule>
    <cfRule type="expression" dxfId="597" priority="1213">
      <formula>S27="ok"</formula>
    </cfRule>
    <cfRule type="expression" dxfId="596" priority="1214">
      <formula>P27=$A$3</formula>
    </cfRule>
  </conditionalFormatting>
  <conditionalFormatting sqref="Q28">
    <cfRule type="cellIs" dxfId="595" priority="1207" operator="notEqual">
      <formula>$A$3</formula>
    </cfRule>
    <cfRule type="expression" dxfId="594" priority="1208">
      <formula>T28="ok"</formula>
    </cfRule>
    <cfRule type="expression" dxfId="593" priority="1209">
      <formula>U28="ok"</formula>
    </cfRule>
    <cfRule type="expression" dxfId="592" priority="1210">
      <formula>Q28=$A$3</formula>
    </cfRule>
  </conditionalFormatting>
  <conditionalFormatting sqref="P29">
    <cfRule type="cellIs" dxfId="591" priority="1203" operator="notEqual">
      <formula>$A$3</formula>
    </cfRule>
    <cfRule type="expression" dxfId="590" priority="1204">
      <formula>R29="ok"</formula>
    </cfRule>
    <cfRule type="expression" dxfId="589" priority="1205">
      <formula>S29="ok"</formula>
    </cfRule>
    <cfRule type="expression" dxfId="588" priority="1206">
      <formula>P29=$A$3</formula>
    </cfRule>
  </conditionalFormatting>
  <conditionalFormatting sqref="Q30">
    <cfRule type="cellIs" dxfId="587" priority="1199" operator="notEqual">
      <formula>$A$3</formula>
    </cfRule>
    <cfRule type="expression" dxfId="586" priority="1200">
      <formula>T30="ok"</formula>
    </cfRule>
    <cfRule type="expression" dxfId="585" priority="1201">
      <formula>U30="ok"</formula>
    </cfRule>
    <cfRule type="expression" dxfId="584" priority="1202">
      <formula>Q30=$A$3</formula>
    </cfRule>
  </conditionalFormatting>
  <conditionalFormatting sqref="AD29">
    <cfRule type="cellIs" dxfId="583" priority="1183" operator="notEqual">
      <formula>$A$3</formula>
    </cfRule>
    <cfRule type="expression" dxfId="582" priority="1184">
      <formula>AF29="ok"</formula>
    </cfRule>
    <cfRule type="expression" dxfId="581" priority="1185">
      <formula>AG29="ok"</formula>
    </cfRule>
    <cfRule type="expression" dxfId="580" priority="1186">
      <formula>AD29=$A$3</formula>
    </cfRule>
  </conditionalFormatting>
  <conditionalFormatting sqref="AD29">
    <cfRule type="cellIs" dxfId="579" priority="1179" operator="notEqual">
      <formula>$A$3</formula>
    </cfRule>
    <cfRule type="expression" dxfId="578" priority="1180">
      <formula>AF29="ok"</formula>
    </cfRule>
    <cfRule type="expression" dxfId="577" priority="1181">
      <formula>AG29="ok"</formula>
    </cfRule>
    <cfRule type="expression" dxfId="576" priority="1182">
      <formula>AD29=$A$3</formula>
    </cfRule>
  </conditionalFormatting>
  <conditionalFormatting sqref="B38">
    <cfRule type="cellIs" dxfId="575" priority="1167" operator="notEqual">
      <formula>$A$3</formula>
    </cfRule>
    <cfRule type="expression" dxfId="574" priority="1168">
      <formula>D38="ok"</formula>
    </cfRule>
    <cfRule type="expression" dxfId="573" priority="1169">
      <formula>E38="ok"</formula>
    </cfRule>
    <cfRule type="expression" dxfId="572" priority="1170">
      <formula>B38=$A$3</formula>
    </cfRule>
  </conditionalFormatting>
  <conditionalFormatting sqref="B40">
    <cfRule type="cellIs" dxfId="571" priority="1159" operator="notEqual">
      <formula>$A$3</formula>
    </cfRule>
    <cfRule type="expression" dxfId="570" priority="1160">
      <formula>D40="ok"</formula>
    </cfRule>
    <cfRule type="expression" dxfId="569" priority="1161">
      <formula>E40="ok"</formula>
    </cfRule>
    <cfRule type="expression" dxfId="568" priority="1162">
      <formula>B40=$A$3</formula>
    </cfRule>
  </conditionalFormatting>
  <conditionalFormatting sqref="B42">
    <cfRule type="cellIs" dxfId="567" priority="1155" operator="notEqual">
      <formula>$A$3</formula>
    </cfRule>
    <cfRule type="expression" dxfId="566" priority="1156">
      <formula>D42="ok"</formula>
    </cfRule>
    <cfRule type="expression" dxfId="565" priority="1157">
      <formula>E42="ok"</formula>
    </cfRule>
    <cfRule type="expression" dxfId="564" priority="1158">
      <formula>B42=$A$3</formula>
    </cfRule>
  </conditionalFormatting>
  <conditionalFormatting sqref="B39">
    <cfRule type="cellIs" dxfId="563" priority="1151" operator="notEqual">
      <formula>$A$3</formula>
    </cfRule>
    <cfRule type="expression" dxfId="562" priority="1152">
      <formula>D39="ok"</formula>
    </cfRule>
    <cfRule type="expression" dxfId="561" priority="1153">
      <formula>E39="ok"</formula>
    </cfRule>
    <cfRule type="expression" dxfId="560" priority="1154">
      <formula>B39=$A$3</formula>
    </cfRule>
  </conditionalFormatting>
  <conditionalFormatting sqref="C37:C41">
    <cfRule type="cellIs" dxfId="559" priority="1147" operator="notEqual">
      <formula>$A$3</formula>
    </cfRule>
    <cfRule type="expression" dxfId="558" priority="1148">
      <formula>F37="ok"</formula>
    </cfRule>
    <cfRule type="expression" dxfId="557" priority="1149">
      <formula>G37="ok"</formula>
    </cfRule>
    <cfRule type="expression" dxfId="556" priority="1150">
      <formula>C37=$A$3</formula>
    </cfRule>
  </conditionalFormatting>
  <conditionalFormatting sqref="W41">
    <cfRule type="cellIs" dxfId="555" priority="1043" operator="notEqual">
      <formula>$A$3</formula>
    </cfRule>
    <cfRule type="expression" dxfId="554" priority="1044">
      <formula>Y41="ok"</formula>
    </cfRule>
    <cfRule type="expression" dxfId="553" priority="1045">
      <formula>Z41="ok"</formula>
    </cfRule>
    <cfRule type="expression" dxfId="552" priority="1046">
      <formula>W41=$A$3</formula>
    </cfRule>
  </conditionalFormatting>
  <conditionalFormatting sqref="W42">
    <cfRule type="cellIs" dxfId="551" priority="1039" operator="notEqual">
      <formula>$A$3</formula>
    </cfRule>
    <cfRule type="expression" dxfId="550" priority="1040">
      <formula>Y42="ok"</formula>
    </cfRule>
    <cfRule type="expression" dxfId="549" priority="1041">
      <formula>Z42="ok"</formula>
    </cfRule>
    <cfRule type="expression" dxfId="548" priority="1042">
      <formula>W42=$A$3</formula>
    </cfRule>
  </conditionalFormatting>
  <conditionalFormatting sqref="W37">
    <cfRule type="cellIs" dxfId="547" priority="1031" operator="notEqual">
      <formula>$A$3</formula>
    </cfRule>
    <cfRule type="expression" dxfId="546" priority="1032">
      <formula>Y37="ok"</formula>
    </cfRule>
    <cfRule type="expression" dxfId="545" priority="1033">
      <formula>Z37="ok"</formula>
    </cfRule>
    <cfRule type="expression" dxfId="544" priority="1034">
      <formula>W37=$A$3</formula>
    </cfRule>
  </conditionalFormatting>
  <conditionalFormatting sqref="J30:J31">
    <cfRule type="cellIs" dxfId="543" priority="1003" operator="notEqual">
      <formula>$A$3</formula>
    </cfRule>
    <cfRule type="expression" dxfId="542" priority="1004">
      <formula>M30="ok"</formula>
    </cfRule>
    <cfRule type="expression" dxfId="541" priority="1005">
      <formula>N30="ok"</formula>
    </cfRule>
    <cfRule type="expression" dxfId="540" priority="1006">
      <formula>J30=$A$3</formula>
    </cfRule>
  </conditionalFormatting>
  <conditionalFormatting sqref="C27">
    <cfRule type="cellIs" dxfId="539" priority="999" operator="notEqual">
      <formula>$A$3</formula>
    </cfRule>
    <cfRule type="expression" dxfId="538" priority="1000">
      <formula>F27="ok"</formula>
    </cfRule>
    <cfRule type="expression" dxfId="537" priority="1001">
      <formula>G27="ok"</formula>
    </cfRule>
    <cfRule type="expression" dxfId="536" priority="1002">
      <formula>C27=$A$3</formula>
    </cfRule>
  </conditionalFormatting>
  <conditionalFormatting sqref="C28">
    <cfRule type="cellIs" dxfId="535" priority="995" operator="notEqual">
      <formula>$A$3</formula>
    </cfRule>
    <cfRule type="expression" dxfId="534" priority="996">
      <formula>F28="ok"</formula>
    </cfRule>
    <cfRule type="expression" dxfId="533" priority="997">
      <formula>G28="ok"</formula>
    </cfRule>
    <cfRule type="expression" dxfId="532" priority="998">
      <formula>C28=$A$3</formula>
    </cfRule>
  </conditionalFormatting>
  <conditionalFormatting sqref="J26">
    <cfRule type="cellIs" dxfId="531" priority="991" operator="notEqual">
      <formula>$A$3</formula>
    </cfRule>
    <cfRule type="expression" dxfId="530" priority="992">
      <formula>M26="ok"</formula>
    </cfRule>
    <cfRule type="expression" dxfId="529" priority="993">
      <formula>N26="ok"</formula>
    </cfRule>
    <cfRule type="expression" dxfId="528" priority="994">
      <formula>J26=$A$3</formula>
    </cfRule>
  </conditionalFormatting>
  <conditionalFormatting sqref="B29:B31">
    <cfRule type="cellIs" dxfId="527" priority="943" operator="notEqual">
      <formula>$A$3</formula>
    </cfRule>
    <cfRule type="expression" dxfId="526" priority="944">
      <formula>D29="ok"</formula>
    </cfRule>
    <cfRule type="expression" dxfId="525" priority="945">
      <formula>E29="ok"</formula>
    </cfRule>
    <cfRule type="expression" dxfId="524" priority="946">
      <formula>B29=$A$3</formula>
    </cfRule>
  </conditionalFormatting>
  <conditionalFormatting sqref="P26">
    <cfRule type="cellIs" dxfId="523" priority="939" operator="notEqual">
      <formula>$A$3</formula>
    </cfRule>
    <cfRule type="expression" dxfId="522" priority="940">
      <formula>R26="ok"</formula>
    </cfRule>
    <cfRule type="expression" dxfId="521" priority="941">
      <formula>S26="ok"</formula>
    </cfRule>
    <cfRule type="expression" dxfId="520" priority="942">
      <formula>P26=$A$3</formula>
    </cfRule>
  </conditionalFormatting>
  <conditionalFormatting sqref="I28">
    <cfRule type="cellIs" dxfId="519" priority="935" operator="notEqual">
      <formula>$A$3</formula>
    </cfRule>
    <cfRule type="expression" dxfId="518" priority="936">
      <formula>K28="ok"</formula>
    </cfRule>
    <cfRule type="expression" dxfId="517" priority="937">
      <formula>L28="ok"</formula>
    </cfRule>
    <cfRule type="expression" dxfId="516" priority="938">
      <formula>I28=$A$3</formula>
    </cfRule>
  </conditionalFormatting>
  <conditionalFormatting sqref="I28">
    <cfRule type="cellIs" dxfId="515" priority="931" operator="notEqual">
      <formula>$A$3</formula>
    </cfRule>
    <cfRule type="expression" dxfId="514" priority="932">
      <formula>K28="ok"</formula>
    </cfRule>
    <cfRule type="expression" dxfId="513" priority="933">
      <formula>L28="ok"</formula>
    </cfRule>
    <cfRule type="expression" dxfId="512" priority="934">
      <formula>I28=$A$3</formula>
    </cfRule>
  </conditionalFormatting>
  <conditionalFormatting sqref="I26">
    <cfRule type="cellIs" dxfId="511" priority="919" operator="notEqual">
      <formula>$A$3</formula>
    </cfRule>
    <cfRule type="expression" dxfId="510" priority="920">
      <formula>K26="ok"</formula>
    </cfRule>
    <cfRule type="expression" dxfId="509" priority="921">
      <formula>L26="ok"</formula>
    </cfRule>
    <cfRule type="expression" dxfId="508" priority="922">
      <formula>I26=$A$3</formula>
    </cfRule>
  </conditionalFormatting>
  <conditionalFormatting sqref="I26">
    <cfRule type="cellIs" dxfId="507" priority="915" operator="notEqual">
      <formula>$A$3</formula>
    </cfRule>
    <cfRule type="expression" dxfId="506" priority="916">
      <formula>K26="ok"</formula>
    </cfRule>
    <cfRule type="expression" dxfId="505" priority="917">
      <formula>L26="ok"</formula>
    </cfRule>
    <cfRule type="expression" dxfId="504" priority="918">
      <formula>I26=$A$3</formula>
    </cfRule>
  </conditionalFormatting>
  <conditionalFormatting sqref="I31">
    <cfRule type="cellIs" dxfId="503" priority="911" operator="notEqual">
      <formula>$A$3</formula>
    </cfRule>
    <cfRule type="expression" dxfId="502" priority="912">
      <formula>K31="ok"</formula>
    </cfRule>
    <cfRule type="expression" dxfId="501" priority="913">
      <formula>L31="ok"</formula>
    </cfRule>
    <cfRule type="expression" dxfId="500" priority="914">
      <formula>I31=$A$3</formula>
    </cfRule>
  </conditionalFormatting>
  <conditionalFormatting sqref="I31">
    <cfRule type="cellIs" dxfId="499" priority="907" operator="notEqual">
      <formula>$A$3</formula>
    </cfRule>
    <cfRule type="expression" dxfId="498" priority="908">
      <formula>K31="ok"</formula>
    </cfRule>
    <cfRule type="expression" dxfId="497" priority="909">
      <formula>L31="ok"</formula>
    </cfRule>
    <cfRule type="expression" dxfId="496" priority="910">
      <formula>I31=$A$3</formula>
    </cfRule>
  </conditionalFormatting>
  <conditionalFormatting sqref="B30">
    <cfRule type="cellIs" dxfId="495" priority="834" operator="notEqual">
      <formula>$A$3</formula>
    </cfRule>
    <cfRule type="expression" dxfId="494" priority="835">
      <formula>D30="ok"</formula>
    </cfRule>
    <cfRule type="expression" dxfId="493" priority="836">
      <formula>E30="ok"</formula>
    </cfRule>
    <cfRule type="expression" dxfId="492" priority="837">
      <formula>B30=$A$3</formula>
    </cfRule>
  </conditionalFormatting>
  <conditionalFormatting sqref="H27">
    <cfRule type="expression" dxfId="491" priority="4597">
      <formula>J27="ko"</formula>
    </cfRule>
    <cfRule type="expression" dxfId="490" priority="4598">
      <formula>I27="ko"</formula>
    </cfRule>
  </conditionalFormatting>
  <conditionalFormatting sqref="H28">
    <cfRule type="expression" dxfId="489" priority="4599">
      <formula>J28="ko"</formula>
    </cfRule>
    <cfRule type="expression" dxfId="488" priority="4600">
      <formula>I28="ko"</formula>
    </cfRule>
  </conditionalFormatting>
  <conditionalFormatting sqref="I41">
    <cfRule type="cellIs" dxfId="487" priority="765" operator="notEqual">
      <formula>$A$3</formula>
    </cfRule>
    <cfRule type="expression" dxfId="486" priority="766">
      <formula>K41="ok"</formula>
    </cfRule>
    <cfRule type="expression" dxfId="485" priority="767">
      <formula>L41="ok"</formula>
    </cfRule>
    <cfRule type="expression" dxfId="484" priority="768">
      <formula>I41=$A$3</formula>
    </cfRule>
  </conditionalFormatting>
  <conditionalFormatting sqref="I27">
    <cfRule type="cellIs" dxfId="483" priority="749" operator="notEqual">
      <formula>$A$3</formula>
    </cfRule>
    <cfRule type="expression" dxfId="482" priority="750">
      <formula>K27="ok"</formula>
    </cfRule>
    <cfRule type="expression" dxfId="481" priority="751">
      <formula>L27="ok"</formula>
    </cfRule>
    <cfRule type="expression" dxfId="480" priority="752">
      <formula>I27=$A$3</formula>
    </cfRule>
  </conditionalFormatting>
  <conditionalFormatting sqref="I27">
    <cfRule type="cellIs" dxfId="479" priority="745" operator="notEqual">
      <formula>$A$3</formula>
    </cfRule>
    <cfRule type="expression" dxfId="478" priority="746">
      <formula>K27="ok"</formula>
    </cfRule>
    <cfRule type="expression" dxfId="477" priority="747">
      <formula>L27="ok"</formula>
    </cfRule>
    <cfRule type="expression" dxfId="476" priority="748">
      <formula>I27=$A$3</formula>
    </cfRule>
  </conditionalFormatting>
  <conditionalFormatting sqref="J27">
    <cfRule type="cellIs" dxfId="475" priority="741" operator="notEqual">
      <formula>$A$3</formula>
    </cfRule>
    <cfRule type="expression" dxfId="474" priority="742">
      <formula>M27="ok"</formula>
    </cfRule>
    <cfRule type="expression" dxfId="473" priority="743">
      <formula>N27="ok"</formula>
    </cfRule>
    <cfRule type="expression" dxfId="472" priority="744">
      <formula>J27=$A$3</formula>
    </cfRule>
  </conditionalFormatting>
  <conditionalFormatting sqref="AK26">
    <cfRule type="cellIs" dxfId="471" priority="733" operator="notEqual">
      <formula>$A$3</formula>
    </cfRule>
    <cfRule type="expression" dxfId="470" priority="734">
      <formula>AM26="ok"</formula>
    </cfRule>
    <cfRule type="expression" dxfId="469" priority="735">
      <formula>AN26="ok"</formula>
    </cfRule>
    <cfRule type="expression" dxfId="468" priority="736">
      <formula>AK26=$A$3</formula>
    </cfRule>
  </conditionalFormatting>
  <conditionalFormatting sqref="J28">
    <cfRule type="cellIs" dxfId="467" priority="709" operator="notEqual">
      <formula>$A$3</formula>
    </cfRule>
    <cfRule type="expression" dxfId="466" priority="710">
      <formula>M28="ok"</formula>
    </cfRule>
    <cfRule type="expression" dxfId="465" priority="711">
      <formula>N28="ok"</formula>
    </cfRule>
    <cfRule type="expression" dxfId="464" priority="712">
      <formula>J28=$A$3</formula>
    </cfRule>
  </conditionalFormatting>
  <conditionalFormatting sqref="I5">
    <cfRule type="cellIs" dxfId="463" priority="665" operator="notEqual">
      <formula>$A$3</formula>
    </cfRule>
    <cfRule type="expression" dxfId="462" priority="666">
      <formula>K5="ok"</formula>
    </cfRule>
    <cfRule type="expression" dxfId="461" priority="667">
      <formula>L5="ok"</formula>
    </cfRule>
    <cfRule type="expression" dxfId="460" priority="668">
      <formula>I5=$A$3</formula>
    </cfRule>
  </conditionalFormatting>
  <conditionalFormatting sqref="J4">
    <cfRule type="cellIs" dxfId="459" priority="657" operator="notEqual">
      <formula>$A$3</formula>
    </cfRule>
    <cfRule type="expression" dxfId="458" priority="658">
      <formula>M4="ok"</formula>
    </cfRule>
    <cfRule type="expression" dxfId="457" priority="659">
      <formula>N4="ok"</formula>
    </cfRule>
    <cfRule type="expression" dxfId="456" priority="660">
      <formula>J4=$A$3</formula>
    </cfRule>
  </conditionalFormatting>
  <conditionalFormatting sqref="J8">
    <cfRule type="cellIs" dxfId="455" priority="653" operator="notEqual">
      <formula>$A$3</formula>
    </cfRule>
    <cfRule type="expression" dxfId="454" priority="654">
      <formula>M8="ok"</formula>
    </cfRule>
    <cfRule type="expression" dxfId="453" priority="655">
      <formula>N8="ok"</formula>
    </cfRule>
    <cfRule type="expression" dxfId="452" priority="656">
      <formula>J8=$A$3</formula>
    </cfRule>
  </conditionalFormatting>
  <conditionalFormatting sqref="J9">
    <cfRule type="cellIs" dxfId="451" priority="649" operator="notEqual">
      <formula>$A$3</formula>
    </cfRule>
    <cfRule type="expression" dxfId="450" priority="650">
      <formula>M9="ok"</formula>
    </cfRule>
    <cfRule type="expression" dxfId="449" priority="651">
      <formula>N9="ok"</formula>
    </cfRule>
    <cfRule type="expression" dxfId="448" priority="652">
      <formula>J9=$A$3</formula>
    </cfRule>
  </conditionalFormatting>
  <conditionalFormatting sqref="J6">
    <cfRule type="cellIs" dxfId="447" priority="645" operator="notEqual">
      <formula>$A$3</formula>
    </cfRule>
    <cfRule type="expression" dxfId="446" priority="646">
      <formula>M6="ok"</formula>
    </cfRule>
    <cfRule type="expression" dxfId="445" priority="647">
      <formula>N6="ok"</formula>
    </cfRule>
    <cfRule type="expression" dxfId="444" priority="648">
      <formula>J6=$A$3</formula>
    </cfRule>
  </conditionalFormatting>
  <conditionalFormatting sqref="J7">
    <cfRule type="cellIs" dxfId="443" priority="641" operator="notEqual">
      <formula>$A$3</formula>
    </cfRule>
    <cfRule type="expression" dxfId="442" priority="642">
      <formula>M7="ok"</formula>
    </cfRule>
    <cfRule type="expression" dxfId="441" priority="643">
      <formula>N7="ok"</formula>
    </cfRule>
    <cfRule type="expression" dxfId="440" priority="644">
      <formula>J7=$A$3</formula>
    </cfRule>
  </conditionalFormatting>
  <conditionalFormatting sqref="J5">
    <cfRule type="cellIs" dxfId="439" priority="637" operator="notEqual">
      <formula>$A$3</formula>
    </cfRule>
    <cfRule type="expression" dxfId="438" priority="638">
      <formula>M5="ok"</formula>
    </cfRule>
    <cfRule type="expression" dxfId="437" priority="639">
      <formula>N5="ok"</formula>
    </cfRule>
    <cfRule type="expression" dxfId="436" priority="640">
      <formula>J5=$A$3</formula>
    </cfRule>
  </conditionalFormatting>
  <conditionalFormatting sqref="I6">
    <cfRule type="cellIs" dxfId="435" priority="633" operator="notEqual">
      <formula>$A$3</formula>
    </cfRule>
    <cfRule type="expression" dxfId="434" priority="634">
      <formula>K6="ok"</formula>
    </cfRule>
    <cfRule type="expression" dxfId="433" priority="635">
      <formula>L6="ok"</formula>
    </cfRule>
    <cfRule type="expression" dxfId="432" priority="636">
      <formula>I6=$A$3</formula>
    </cfRule>
  </conditionalFormatting>
  <conditionalFormatting sqref="I9">
    <cfRule type="cellIs" dxfId="431" priority="629" operator="notEqual">
      <formula>$A$3</formula>
    </cfRule>
    <cfRule type="expression" dxfId="430" priority="630">
      <formula>K9="ok"</formula>
    </cfRule>
    <cfRule type="expression" dxfId="429" priority="631">
      <formula>L9="ok"</formula>
    </cfRule>
    <cfRule type="expression" dxfId="428" priority="632">
      <formula>I9=$A$3</formula>
    </cfRule>
  </conditionalFormatting>
  <conditionalFormatting sqref="I4">
    <cfRule type="cellIs" dxfId="427" priority="625" operator="notEqual">
      <formula>$A$3</formula>
    </cfRule>
    <cfRule type="expression" dxfId="426" priority="626">
      <formula>K4="ok"</formula>
    </cfRule>
    <cfRule type="expression" dxfId="425" priority="627">
      <formula>L4="ok"</formula>
    </cfRule>
    <cfRule type="expression" dxfId="424" priority="628">
      <formula>I4=$A$3</formula>
    </cfRule>
  </conditionalFormatting>
  <conditionalFormatting sqref="I8">
    <cfRule type="cellIs" dxfId="423" priority="621" operator="notEqual">
      <formula>$A$3</formula>
    </cfRule>
    <cfRule type="expression" dxfId="422" priority="622">
      <formula>K8="ok"</formula>
    </cfRule>
    <cfRule type="expression" dxfId="421" priority="623">
      <formula>L8="ok"</formula>
    </cfRule>
    <cfRule type="expression" dxfId="420" priority="624">
      <formula>I8=$A$3</formula>
    </cfRule>
  </conditionalFormatting>
  <conditionalFormatting sqref="Q5:Q8">
    <cfRule type="cellIs" dxfId="419" priority="553" operator="notEqual">
      <formula>$A$3</formula>
    </cfRule>
    <cfRule type="expression" dxfId="418" priority="554">
      <formula>T5="ok"</formula>
    </cfRule>
    <cfRule type="expression" dxfId="417" priority="555">
      <formula>U5="ok"</formula>
    </cfRule>
    <cfRule type="expression" dxfId="416" priority="556">
      <formula>Q5=$A$3</formula>
    </cfRule>
  </conditionalFormatting>
  <conditionalFormatting sqref="P4">
    <cfRule type="cellIs" dxfId="415" priority="541" operator="notEqual">
      <formula>$A$3</formula>
    </cfRule>
    <cfRule type="expression" dxfId="414" priority="542">
      <formula>$R4="ok"</formula>
    </cfRule>
    <cfRule type="expression" dxfId="413" priority="543">
      <formula>$S4="ok"</formula>
    </cfRule>
    <cfRule type="expression" dxfId="412" priority="544">
      <formula>$P4=$A$3</formula>
    </cfRule>
  </conditionalFormatting>
  <conditionalFormatting sqref="Q4">
    <cfRule type="cellIs" dxfId="411" priority="529" operator="notEqual">
      <formula>$A$3</formula>
    </cfRule>
    <cfRule type="expression" dxfId="410" priority="530">
      <formula>T4="ok"</formula>
    </cfRule>
    <cfRule type="expression" dxfId="409" priority="531">
      <formula>U4="ok"</formula>
    </cfRule>
    <cfRule type="expression" dxfId="408" priority="532">
      <formula>Q4=$A$3</formula>
    </cfRule>
  </conditionalFormatting>
  <conditionalFormatting sqref="P5:P9">
    <cfRule type="cellIs" dxfId="407" priority="525" operator="notEqual">
      <formula>$A$3</formula>
    </cfRule>
    <cfRule type="expression" dxfId="406" priority="526">
      <formula>$R5="ok"</formula>
    </cfRule>
    <cfRule type="expression" dxfId="405" priority="527">
      <formula>$S5="ok"</formula>
    </cfRule>
    <cfRule type="expression" dxfId="404" priority="528">
      <formula>$P5=$A$3</formula>
    </cfRule>
  </conditionalFormatting>
  <conditionalFormatting sqref="X5">
    <cfRule type="cellIs" dxfId="403" priority="521" operator="notEqual">
      <formula>$A$3</formula>
    </cfRule>
    <cfRule type="expression" dxfId="402" priority="522">
      <formula>AA5="ok"</formula>
    </cfRule>
    <cfRule type="expression" dxfId="401" priority="523">
      <formula>AB5="ok"</formula>
    </cfRule>
    <cfRule type="expression" dxfId="400" priority="524">
      <formula>X5=$A$3</formula>
    </cfRule>
  </conditionalFormatting>
  <conditionalFormatting sqref="X6">
    <cfRule type="cellIs" dxfId="399" priority="517" operator="notEqual">
      <formula>$A$3</formula>
    </cfRule>
    <cfRule type="expression" dxfId="398" priority="518">
      <formula>AA6="ok"</formula>
    </cfRule>
    <cfRule type="expression" dxfId="397" priority="519">
      <formula>AB6="ok"</formula>
    </cfRule>
    <cfRule type="expression" dxfId="396" priority="520">
      <formula>X6=$A$3</formula>
    </cfRule>
  </conditionalFormatting>
  <conditionalFormatting sqref="X8">
    <cfRule type="cellIs" dxfId="395" priority="513" operator="notEqual">
      <formula>$A$3</formula>
    </cfRule>
    <cfRule type="expression" dxfId="394" priority="514">
      <formula>AA8="ok"</formula>
    </cfRule>
    <cfRule type="expression" dxfId="393" priority="515">
      <formula>AB8="ok"</formula>
    </cfRule>
    <cfRule type="expression" dxfId="392" priority="516">
      <formula>X8=$A$3</formula>
    </cfRule>
  </conditionalFormatting>
  <conditionalFormatting sqref="W4">
    <cfRule type="cellIs" dxfId="391" priority="509" operator="notEqual">
      <formula>$A$3</formula>
    </cfRule>
    <cfRule type="expression" dxfId="390" priority="510">
      <formula>Y4="ok"</formula>
    </cfRule>
    <cfRule type="expression" dxfId="389" priority="511">
      <formula>Z4="ok"</formula>
    </cfRule>
    <cfRule type="expression" dxfId="388" priority="512">
      <formula>W4=$A$3</formula>
    </cfRule>
  </conditionalFormatting>
  <conditionalFormatting sqref="X9">
    <cfRule type="cellIs" dxfId="387" priority="505" operator="notEqual">
      <formula>$A$3</formula>
    </cfRule>
    <cfRule type="expression" dxfId="386" priority="506">
      <formula>AA9="ok"</formula>
    </cfRule>
    <cfRule type="expression" dxfId="385" priority="507">
      <formula>AB9="ok"</formula>
    </cfRule>
    <cfRule type="expression" dxfId="384" priority="508">
      <formula>X9=$A$3</formula>
    </cfRule>
  </conditionalFormatting>
  <conditionalFormatting sqref="X7">
    <cfRule type="cellIs" dxfId="383" priority="501" operator="notEqual">
      <formula>$A$3</formula>
    </cfRule>
    <cfRule type="expression" dxfId="382" priority="502">
      <formula>AA7="ok"</formula>
    </cfRule>
    <cfRule type="expression" dxfId="381" priority="503">
      <formula>AB7="ok"</formula>
    </cfRule>
    <cfRule type="expression" dxfId="380" priority="504">
      <formula>X7=$A$3</formula>
    </cfRule>
  </conditionalFormatting>
  <conditionalFormatting sqref="X4">
    <cfRule type="cellIs" dxfId="379" priority="497" operator="notEqual">
      <formula>$A$3</formula>
    </cfRule>
    <cfRule type="expression" dxfId="378" priority="498">
      <formula>AA4="ok"</formula>
    </cfRule>
    <cfRule type="expression" dxfId="377" priority="499">
      <formula>AB4="ok"</formula>
    </cfRule>
    <cfRule type="expression" dxfId="376" priority="500">
      <formula>X4=$A$3</formula>
    </cfRule>
  </conditionalFormatting>
  <conditionalFormatting sqref="W5:W9">
    <cfRule type="cellIs" dxfId="375" priority="493" operator="notEqual">
      <formula>$A$3</formula>
    </cfRule>
    <cfRule type="expression" dxfId="374" priority="494">
      <formula>Y5="ok"</formula>
    </cfRule>
    <cfRule type="expression" dxfId="373" priority="495">
      <formula>Z5="ok"</formula>
    </cfRule>
    <cfRule type="expression" dxfId="372" priority="496">
      <formula>W5=$A$3</formula>
    </cfRule>
  </conditionalFormatting>
  <conditionalFormatting sqref="AE6">
    <cfRule type="cellIs" dxfId="371" priority="489" operator="notEqual">
      <formula>$A$3</formula>
    </cfRule>
    <cfRule type="expression" dxfId="370" priority="490">
      <formula>AH6="ok"</formula>
    </cfRule>
    <cfRule type="expression" dxfId="369" priority="491">
      <formula>AI6="ok"</formula>
    </cfRule>
    <cfRule type="expression" dxfId="368" priority="492">
      <formula>AE6=$A$3</formula>
    </cfRule>
  </conditionalFormatting>
  <conditionalFormatting sqref="AD4">
    <cfRule type="cellIs" dxfId="367" priority="485" operator="notEqual">
      <formula>$A$3</formula>
    </cfRule>
    <cfRule type="expression" dxfId="366" priority="486">
      <formula>AF4="ok"</formula>
    </cfRule>
    <cfRule type="expression" dxfId="365" priority="487">
      <formula>AG4="ok"</formula>
    </cfRule>
    <cfRule type="expression" dxfId="364" priority="488">
      <formula>AD4=$A$3</formula>
    </cfRule>
  </conditionalFormatting>
  <conditionalFormatting sqref="AD5">
    <cfRule type="cellIs" dxfId="363" priority="481" operator="notEqual">
      <formula>$A$3</formula>
    </cfRule>
    <cfRule type="expression" dxfId="362" priority="482">
      <formula>AF5="ok"</formula>
    </cfRule>
    <cfRule type="expression" dxfId="361" priority="483">
      <formula>AG5="ok"</formula>
    </cfRule>
    <cfRule type="expression" dxfId="360" priority="484">
      <formula>AD5=$A$3</formula>
    </cfRule>
  </conditionalFormatting>
  <conditionalFormatting sqref="AD6">
    <cfRule type="cellIs" dxfId="359" priority="477" operator="notEqual">
      <formula>$A$3</formula>
    </cfRule>
    <cfRule type="expression" dxfId="358" priority="478">
      <formula>AF6="ok"</formula>
    </cfRule>
    <cfRule type="expression" dxfId="357" priority="479">
      <formula>AG6="ok"</formula>
    </cfRule>
    <cfRule type="expression" dxfId="356" priority="480">
      <formula>AD6=$A$3</formula>
    </cfRule>
  </conditionalFormatting>
  <conditionalFormatting sqref="AE9">
    <cfRule type="cellIs" dxfId="355" priority="473" operator="notEqual">
      <formula>$A$3</formula>
    </cfRule>
    <cfRule type="expression" dxfId="354" priority="474">
      <formula>AH9="ok"</formula>
    </cfRule>
    <cfRule type="expression" dxfId="353" priority="475">
      <formula>AI9="ok"</formula>
    </cfRule>
    <cfRule type="expression" dxfId="352" priority="476">
      <formula>AE9=$A$3</formula>
    </cfRule>
  </conditionalFormatting>
  <conditionalFormatting sqref="AE5">
    <cfRule type="cellIs" dxfId="351" priority="469" operator="notEqual">
      <formula>$A$3</formula>
    </cfRule>
    <cfRule type="expression" dxfId="350" priority="470">
      <formula>AH5="ok"</formula>
    </cfRule>
    <cfRule type="expression" dxfId="349" priority="471">
      <formula>AI5="ok"</formula>
    </cfRule>
    <cfRule type="expression" dxfId="348" priority="472">
      <formula>AE5=$A$3</formula>
    </cfRule>
  </conditionalFormatting>
  <conditionalFormatting sqref="AE4">
    <cfRule type="cellIs" dxfId="347" priority="465" operator="notEqual">
      <formula>$A$3</formula>
    </cfRule>
    <cfRule type="expression" dxfId="346" priority="466">
      <formula>AH4="ok"</formula>
    </cfRule>
    <cfRule type="expression" dxfId="345" priority="467">
      <formula>AI4="ok"</formula>
    </cfRule>
    <cfRule type="expression" dxfId="344" priority="468">
      <formula>AE4=$A$3</formula>
    </cfRule>
  </conditionalFormatting>
  <conditionalFormatting sqref="AE8">
    <cfRule type="cellIs" dxfId="343" priority="461" operator="notEqual">
      <formula>$A$3</formula>
    </cfRule>
    <cfRule type="expression" dxfId="342" priority="462">
      <formula>AH8="ok"</formula>
    </cfRule>
    <cfRule type="expression" dxfId="341" priority="463">
      <formula>AI8="ok"</formula>
    </cfRule>
    <cfRule type="expression" dxfId="340" priority="464">
      <formula>AE8=$A$3</formula>
    </cfRule>
  </conditionalFormatting>
  <conditionalFormatting sqref="AE7">
    <cfRule type="cellIs" dxfId="339" priority="457" operator="notEqual">
      <formula>$A$3</formula>
    </cfRule>
    <cfRule type="expression" dxfId="338" priority="458">
      <formula>AH7="ok"</formula>
    </cfRule>
    <cfRule type="expression" dxfId="337" priority="459">
      <formula>AI7="ok"</formula>
    </cfRule>
    <cfRule type="expression" dxfId="336" priority="460">
      <formula>AE7=$A$3</formula>
    </cfRule>
  </conditionalFormatting>
  <conditionalFormatting sqref="AD9">
    <cfRule type="cellIs" dxfId="335" priority="453" operator="notEqual">
      <formula>$A$3</formula>
    </cfRule>
    <cfRule type="expression" dxfId="334" priority="454">
      <formula>AF9="ok"</formula>
    </cfRule>
    <cfRule type="expression" dxfId="333" priority="455">
      <formula>AG9="ok"</formula>
    </cfRule>
    <cfRule type="expression" dxfId="332" priority="456">
      <formula>AD9=$A$3</formula>
    </cfRule>
  </conditionalFormatting>
  <conditionalFormatting sqref="AD8">
    <cfRule type="cellIs" dxfId="331" priority="449" operator="notEqual">
      <formula>$A$3</formula>
    </cfRule>
    <cfRule type="expression" dxfId="330" priority="450">
      <formula>AF8="ok"</formula>
    </cfRule>
    <cfRule type="expression" dxfId="329" priority="451">
      <formula>AG8="ok"</formula>
    </cfRule>
    <cfRule type="expression" dxfId="328" priority="452">
      <formula>AD8=$A$3</formula>
    </cfRule>
  </conditionalFormatting>
  <conditionalFormatting sqref="AD7">
    <cfRule type="cellIs" dxfId="327" priority="445" operator="notEqual">
      <formula>$A$3</formula>
    </cfRule>
    <cfRule type="expression" dxfId="326" priority="446">
      <formula>AF7="ok"</formula>
    </cfRule>
    <cfRule type="expression" dxfId="325" priority="447">
      <formula>AG7="ok"</formula>
    </cfRule>
    <cfRule type="expression" dxfId="324" priority="448">
      <formula>AD7=$A$3</formula>
    </cfRule>
  </conditionalFormatting>
  <conditionalFormatting sqref="AL4">
    <cfRule type="cellIs" dxfId="323" priority="441" operator="notEqual">
      <formula>$A$3</formula>
    </cfRule>
    <cfRule type="expression" dxfId="322" priority="442">
      <formula>AO4="ok"</formula>
    </cfRule>
    <cfRule type="expression" dxfId="321" priority="443">
      <formula>AP4="ok"</formula>
    </cfRule>
    <cfRule type="expression" dxfId="320" priority="444">
      <formula>AL4=$A$3</formula>
    </cfRule>
  </conditionalFormatting>
  <conditionalFormatting sqref="AL5">
    <cfRule type="cellIs" dxfId="319" priority="437" operator="notEqual">
      <formula>$A$3</formula>
    </cfRule>
    <cfRule type="expression" dxfId="318" priority="438">
      <formula>AO5="ok"</formula>
    </cfRule>
    <cfRule type="expression" dxfId="317" priority="439">
      <formula>AP5="ok"</formula>
    </cfRule>
    <cfRule type="expression" dxfId="316" priority="440">
      <formula>AL5=$A$3</formula>
    </cfRule>
  </conditionalFormatting>
  <conditionalFormatting sqref="AL6">
    <cfRule type="cellIs" dxfId="315" priority="433" operator="notEqual">
      <formula>$A$3</formula>
    </cfRule>
    <cfRule type="expression" dxfId="314" priority="434">
      <formula>AO6="ok"</formula>
    </cfRule>
    <cfRule type="expression" dxfId="313" priority="435">
      <formula>AP6="ok"</formula>
    </cfRule>
    <cfRule type="expression" dxfId="312" priority="436">
      <formula>AL6=$A$3</formula>
    </cfRule>
  </conditionalFormatting>
  <conditionalFormatting sqref="AK4">
    <cfRule type="cellIs" dxfId="311" priority="429" operator="notEqual">
      <formula>$A$3</formula>
    </cfRule>
    <cfRule type="expression" dxfId="310" priority="430">
      <formula>AM4="ok"</formula>
    </cfRule>
    <cfRule type="expression" dxfId="309" priority="431">
      <formula>AN4="ok"</formula>
    </cfRule>
    <cfRule type="expression" dxfId="308" priority="432">
      <formula>AK4=$A$3</formula>
    </cfRule>
  </conditionalFormatting>
  <conditionalFormatting sqref="AK5">
    <cfRule type="cellIs" dxfId="307" priority="425" operator="notEqual">
      <formula>$A$3</formula>
    </cfRule>
    <cfRule type="expression" dxfId="306" priority="426">
      <formula>AM5="ok"</formula>
    </cfRule>
    <cfRule type="expression" dxfId="305" priority="427">
      <formula>AN5="ok"</formula>
    </cfRule>
    <cfRule type="expression" dxfId="304" priority="428">
      <formula>AK5=$A$3</formula>
    </cfRule>
  </conditionalFormatting>
  <conditionalFormatting sqref="AK6">
    <cfRule type="cellIs" dxfId="303" priority="421" operator="notEqual">
      <formula>$A$3</formula>
    </cfRule>
    <cfRule type="expression" dxfId="302" priority="422">
      <formula>AM6="ok"</formula>
    </cfRule>
    <cfRule type="expression" dxfId="301" priority="423">
      <formula>AN6="ok"</formula>
    </cfRule>
    <cfRule type="expression" dxfId="300" priority="424">
      <formula>AK6=$A$3</formula>
    </cfRule>
  </conditionalFormatting>
  <conditionalFormatting sqref="B20">
    <cfRule type="cellIs" dxfId="299" priority="405" operator="notEqual">
      <formula>$A$3</formula>
    </cfRule>
    <cfRule type="expression" dxfId="298" priority="406">
      <formula>D20="ok"</formula>
    </cfRule>
    <cfRule type="expression" dxfId="297" priority="407">
      <formula>E20="ok"</formula>
    </cfRule>
    <cfRule type="expression" dxfId="296" priority="408">
      <formula>B20=$A$3</formula>
    </cfRule>
  </conditionalFormatting>
  <conditionalFormatting sqref="B15">
    <cfRule type="cellIs" dxfId="295" priority="401" operator="notEqual">
      <formula>$A$3</formula>
    </cfRule>
    <cfRule type="expression" dxfId="294" priority="402">
      <formula>D15="ok"</formula>
    </cfRule>
    <cfRule type="expression" dxfId="293" priority="403">
      <formula>E15="ok"</formula>
    </cfRule>
    <cfRule type="expression" dxfId="292" priority="404">
      <formula>B15=$A$3</formula>
    </cfRule>
  </conditionalFormatting>
  <conditionalFormatting sqref="B16">
    <cfRule type="cellIs" dxfId="291" priority="397" operator="notEqual">
      <formula>$A$3</formula>
    </cfRule>
    <cfRule type="expression" dxfId="290" priority="398">
      <formula>D16="ok"</formula>
    </cfRule>
    <cfRule type="expression" dxfId="289" priority="399">
      <formula>E16="ok"</formula>
    </cfRule>
    <cfRule type="expression" dxfId="288" priority="400">
      <formula>B16=$A$3</formula>
    </cfRule>
  </conditionalFormatting>
  <conditionalFormatting sqref="B17:B19">
    <cfRule type="cellIs" dxfId="287" priority="393" operator="notEqual">
      <formula>$A$3</formula>
    </cfRule>
    <cfRule type="expression" dxfId="286" priority="394">
      <formula>D17="ok"</formula>
    </cfRule>
    <cfRule type="expression" dxfId="285" priority="395">
      <formula>E17="ok"</formula>
    </cfRule>
    <cfRule type="expression" dxfId="284" priority="396">
      <formula>B17=$A$3</formula>
    </cfRule>
  </conditionalFormatting>
  <conditionalFormatting sqref="I20">
    <cfRule type="cellIs" dxfId="283" priority="381" operator="notEqual">
      <formula>$A$3</formula>
    </cfRule>
    <cfRule type="expression" dxfId="282" priority="382">
      <formula>K20="ok"</formula>
    </cfRule>
    <cfRule type="expression" dxfId="281" priority="383">
      <formula>L20="ok"</formula>
    </cfRule>
    <cfRule type="expression" dxfId="280" priority="384">
      <formula>I20=$A$3</formula>
    </cfRule>
  </conditionalFormatting>
  <conditionalFormatting sqref="I15">
    <cfRule type="cellIs" dxfId="279" priority="377" operator="notEqual">
      <formula>$A$3</formula>
    </cfRule>
    <cfRule type="expression" dxfId="278" priority="378">
      <formula>K15="ok"</formula>
    </cfRule>
    <cfRule type="expression" dxfId="277" priority="379">
      <formula>L15="ok"</formula>
    </cfRule>
    <cfRule type="expression" dxfId="276" priority="380">
      <formula>I15=$A$3</formula>
    </cfRule>
  </conditionalFormatting>
  <conditionalFormatting sqref="I16">
    <cfRule type="cellIs" dxfId="275" priority="373" operator="notEqual">
      <formula>$A$3</formula>
    </cfRule>
    <cfRule type="expression" dxfId="274" priority="374">
      <formula>K16="ok"</formula>
    </cfRule>
    <cfRule type="expression" dxfId="273" priority="375">
      <formula>L16="ok"</formula>
    </cfRule>
    <cfRule type="expression" dxfId="272" priority="376">
      <formula>I16=$A$3</formula>
    </cfRule>
  </conditionalFormatting>
  <conditionalFormatting sqref="I17:I19">
    <cfRule type="cellIs" dxfId="271" priority="369" operator="notEqual">
      <formula>$A$3</formula>
    </cfRule>
    <cfRule type="expression" dxfId="270" priority="370">
      <formula>K17="ok"</formula>
    </cfRule>
    <cfRule type="expression" dxfId="269" priority="371">
      <formula>L17="ok"</formula>
    </cfRule>
    <cfRule type="expression" dxfId="268" priority="372">
      <formula>I17=$A$3</formula>
    </cfRule>
  </conditionalFormatting>
  <conditionalFormatting sqref="J15">
    <cfRule type="cellIs" dxfId="267" priority="365" operator="notEqual">
      <formula>$A$3</formula>
    </cfRule>
    <cfRule type="expression" dxfId="266" priority="366">
      <formula>M15="ok"</formula>
    </cfRule>
    <cfRule type="expression" dxfId="265" priority="367">
      <formula>N15="ok"</formula>
    </cfRule>
    <cfRule type="expression" dxfId="264" priority="368">
      <formula>J15=$A$3</formula>
    </cfRule>
  </conditionalFormatting>
  <conditionalFormatting sqref="J16">
    <cfRule type="cellIs" dxfId="263" priority="361" operator="notEqual">
      <formula>$A$3</formula>
    </cfRule>
    <cfRule type="expression" dxfId="262" priority="362">
      <formula>M16="ok"</formula>
    </cfRule>
    <cfRule type="expression" dxfId="261" priority="363">
      <formula>N16="ok"</formula>
    </cfRule>
    <cfRule type="expression" dxfId="260" priority="364">
      <formula>J16=$A$3</formula>
    </cfRule>
  </conditionalFormatting>
  <conditionalFormatting sqref="J17">
    <cfRule type="cellIs" dxfId="259" priority="357" operator="notEqual">
      <formula>$A$3</formula>
    </cfRule>
    <cfRule type="expression" dxfId="258" priority="358">
      <formula>M17="ok"</formula>
    </cfRule>
    <cfRule type="expression" dxfId="257" priority="359">
      <formula>N17="ok"</formula>
    </cfRule>
    <cfRule type="expression" dxfId="256" priority="360">
      <formula>J17=$A$3</formula>
    </cfRule>
  </conditionalFormatting>
  <conditionalFormatting sqref="J18">
    <cfRule type="cellIs" dxfId="255" priority="353" operator="notEqual">
      <formula>$A$3</formula>
    </cfRule>
    <cfRule type="expression" dxfId="254" priority="354">
      <formula>M18="ok"</formula>
    </cfRule>
    <cfRule type="expression" dxfId="253" priority="355">
      <formula>N18="ok"</formula>
    </cfRule>
    <cfRule type="expression" dxfId="252" priority="356">
      <formula>J18=$A$3</formula>
    </cfRule>
  </conditionalFormatting>
  <conditionalFormatting sqref="J19">
    <cfRule type="cellIs" dxfId="251" priority="349" operator="notEqual">
      <formula>$A$3</formula>
    </cfRule>
    <cfRule type="expression" dxfId="250" priority="350">
      <formula>M19="ok"</formula>
    </cfRule>
    <cfRule type="expression" dxfId="249" priority="351">
      <formula>N19="ok"</formula>
    </cfRule>
    <cfRule type="expression" dxfId="248" priority="352">
      <formula>J19=$A$3</formula>
    </cfRule>
  </conditionalFormatting>
  <conditionalFormatting sqref="J20">
    <cfRule type="cellIs" dxfId="247" priority="345" operator="notEqual">
      <formula>$A$3</formula>
    </cfRule>
    <cfRule type="expression" dxfId="246" priority="346">
      <formula>M20="ok"</formula>
    </cfRule>
    <cfRule type="expression" dxfId="245" priority="347">
      <formula>N20="ok"</formula>
    </cfRule>
    <cfRule type="expression" dxfId="244" priority="348">
      <formula>J20=$A$3</formula>
    </cfRule>
  </conditionalFormatting>
  <conditionalFormatting sqref="P15">
    <cfRule type="cellIs" dxfId="243" priority="341" operator="notEqual">
      <formula>$A$3</formula>
    </cfRule>
    <cfRule type="expression" dxfId="242" priority="342">
      <formula>R15="ok"</formula>
    </cfRule>
    <cfRule type="expression" dxfId="241" priority="343">
      <formula>S15="ok"</formula>
    </cfRule>
    <cfRule type="expression" dxfId="240" priority="344">
      <formula>P15=$A$3</formula>
    </cfRule>
  </conditionalFormatting>
  <conditionalFormatting sqref="P19">
    <cfRule type="cellIs" dxfId="239" priority="337" operator="notEqual">
      <formula>$A$3</formula>
    </cfRule>
    <cfRule type="expression" dxfId="238" priority="338">
      <formula>R19="ok"</formula>
    </cfRule>
    <cfRule type="expression" dxfId="237" priority="339">
      <formula>S19="ok"</formula>
    </cfRule>
    <cfRule type="expression" dxfId="236" priority="340">
      <formula>P19=$A$3</formula>
    </cfRule>
  </conditionalFormatting>
  <conditionalFormatting sqref="P20">
    <cfRule type="cellIs" dxfId="235" priority="333" operator="notEqual">
      <formula>$A$3</formula>
    </cfRule>
    <cfRule type="expression" dxfId="234" priority="334">
      <formula>R20="ok"</formula>
    </cfRule>
    <cfRule type="expression" dxfId="233" priority="335">
      <formula>S20="ok"</formula>
    </cfRule>
    <cfRule type="expression" dxfId="232" priority="336">
      <formula>P20=$A$3</formula>
    </cfRule>
  </conditionalFormatting>
  <conditionalFormatting sqref="Q15">
    <cfRule type="cellIs" dxfId="231" priority="329" operator="notEqual">
      <formula>$A$3</formula>
    </cfRule>
    <cfRule type="expression" dxfId="230" priority="330">
      <formula>T15="ok"</formula>
    </cfRule>
    <cfRule type="expression" dxfId="229" priority="331">
      <formula>U15="ok"</formula>
    </cfRule>
    <cfRule type="expression" dxfId="228" priority="332">
      <formula>Q15=$A$3</formula>
    </cfRule>
  </conditionalFormatting>
  <conditionalFormatting sqref="Q16:Q17">
    <cfRule type="cellIs" dxfId="227" priority="325" operator="notEqual">
      <formula>$A$3</formula>
    </cfRule>
    <cfRule type="expression" dxfId="226" priority="326">
      <formula>T16="ok"</formula>
    </cfRule>
    <cfRule type="expression" dxfId="225" priority="327">
      <formula>U16="ok"</formula>
    </cfRule>
    <cfRule type="expression" dxfId="224" priority="328">
      <formula>Q16=$A$3</formula>
    </cfRule>
  </conditionalFormatting>
  <conditionalFormatting sqref="Q18">
    <cfRule type="cellIs" dxfId="223" priority="321" operator="notEqual">
      <formula>$A$3</formula>
    </cfRule>
    <cfRule type="expression" dxfId="222" priority="322">
      <formula>T18="ok"</formula>
    </cfRule>
    <cfRule type="expression" dxfId="221" priority="323">
      <formula>U18="ok"</formula>
    </cfRule>
    <cfRule type="expression" dxfId="220" priority="324">
      <formula>Q18=$A$3</formula>
    </cfRule>
  </conditionalFormatting>
  <conditionalFormatting sqref="Q19">
    <cfRule type="cellIs" dxfId="219" priority="317" operator="notEqual">
      <formula>$A$3</formula>
    </cfRule>
    <cfRule type="expression" dxfId="218" priority="318">
      <formula>T19="ok"</formula>
    </cfRule>
    <cfRule type="expression" dxfId="217" priority="319">
      <formula>U19="ok"</formula>
    </cfRule>
    <cfRule type="expression" dxfId="216" priority="320">
      <formula>Q19=$A$3</formula>
    </cfRule>
  </conditionalFormatting>
  <conditionalFormatting sqref="Q20">
    <cfRule type="cellIs" dxfId="215" priority="313" operator="notEqual">
      <formula>$A$3</formula>
    </cfRule>
    <cfRule type="expression" dxfId="214" priority="314">
      <formula>T20="ok"</formula>
    </cfRule>
    <cfRule type="expression" dxfId="213" priority="315">
      <formula>U20="ok"</formula>
    </cfRule>
    <cfRule type="expression" dxfId="212" priority="316">
      <formula>Q20=$A$3</formula>
    </cfRule>
  </conditionalFormatting>
  <conditionalFormatting sqref="P16 P18">
    <cfRule type="cellIs" dxfId="211" priority="309" operator="notEqual">
      <formula>$A$3</formula>
    </cfRule>
    <cfRule type="expression" dxfId="210" priority="310">
      <formula>R16="ok"</formula>
    </cfRule>
    <cfRule type="expression" dxfId="209" priority="311">
      <formula>S16="ok"</formula>
    </cfRule>
    <cfRule type="expression" dxfId="208" priority="312">
      <formula>P16=$A$3</formula>
    </cfRule>
  </conditionalFormatting>
  <conditionalFormatting sqref="P18">
    <cfRule type="cellIs" dxfId="207" priority="305" operator="notEqual">
      <formula>$A$3</formula>
    </cfRule>
    <cfRule type="expression" dxfId="206" priority="306">
      <formula>R18="ok"</formula>
    </cfRule>
    <cfRule type="expression" dxfId="205" priority="307">
      <formula>S18="ok"</formula>
    </cfRule>
    <cfRule type="expression" dxfId="204" priority="308">
      <formula>P18=$A$3</formula>
    </cfRule>
  </conditionalFormatting>
  <conditionalFormatting sqref="P17">
    <cfRule type="cellIs" dxfId="203" priority="297" operator="notEqual">
      <formula>$A$3</formula>
    </cfRule>
    <cfRule type="expression" dxfId="202" priority="298">
      <formula>$R17="ok"</formula>
    </cfRule>
    <cfRule type="expression" dxfId="201" priority="299">
      <formula>$S17="ok"</formula>
    </cfRule>
    <cfRule type="expression" dxfId="200" priority="300">
      <formula>$P17=$A$3</formula>
    </cfRule>
  </conditionalFormatting>
  <conditionalFormatting sqref="W16">
    <cfRule type="cellIs" dxfId="199" priority="293" operator="notEqual">
      <formula>$A$3</formula>
    </cfRule>
    <cfRule type="expression" dxfId="198" priority="294">
      <formula>Y16="ok"</formula>
    </cfRule>
    <cfRule type="expression" dxfId="197" priority="295">
      <formula>Z16="ok"</formula>
    </cfRule>
    <cfRule type="expression" dxfId="196" priority="296">
      <formula>W16=$A$3</formula>
    </cfRule>
  </conditionalFormatting>
  <conditionalFormatting sqref="X18">
    <cfRule type="cellIs" dxfId="195" priority="289" operator="notEqual">
      <formula>$A$3</formula>
    </cfRule>
    <cfRule type="expression" dxfId="194" priority="290">
      <formula>AA18="ok"</formula>
    </cfRule>
    <cfRule type="expression" dxfId="193" priority="291">
      <formula>AB18="ok"</formula>
    </cfRule>
    <cfRule type="expression" dxfId="192" priority="292">
      <formula>X18=$A$3</formula>
    </cfRule>
  </conditionalFormatting>
  <conditionalFormatting sqref="X15">
    <cfRule type="cellIs" dxfId="191" priority="285" operator="notEqual">
      <formula>$A$3</formula>
    </cfRule>
    <cfRule type="expression" dxfId="190" priority="286">
      <formula>AA15="ok"</formula>
    </cfRule>
    <cfRule type="expression" dxfId="189" priority="287">
      <formula>AB15="ok"</formula>
    </cfRule>
    <cfRule type="expression" dxfId="188" priority="288">
      <formula>X15=$A$3</formula>
    </cfRule>
  </conditionalFormatting>
  <conditionalFormatting sqref="X16">
    <cfRule type="cellIs" dxfId="187" priority="281" operator="notEqual">
      <formula>$A$3</formula>
    </cfRule>
    <cfRule type="expression" dxfId="186" priority="282">
      <formula>AA16="ok"</formula>
    </cfRule>
    <cfRule type="expression" dxfId="185" priority="283">
      <formula>AB16="ok"</formula>
    </cfRule>
    <cfRule type="expression" dxfId="184" priority="284">
      <formula>X16=$A$3</formula>
    </cfRule>
  </conditionalFormatting>
  <conditionalFormatting sqref="X19">
    <cfRule type="cellIs" dxfId="183" priority="277" operator="notEqual">
      <formula>$A$3</formula>
    </cfRule>
    <cfRule type="expression" dxfId="182" priority="278">
      <formula>AA19="ok"</formula>
    </cfRule>
    <cfRule type="expression" dxfId="181" priority="279">
      <formula>AB19="ok"</formula>
    </cfRule>
    <cfRule type="expression" dxfId="180" priority="280">
      <formula>X19=$A$3</formula>
    </cfRule>
  </conditionalFormatting>
  <conditionalFormatting sqref="W15">
    <cfRule type="cellIs" dxfId="179" priority="273" operator="notEqual">
      <formula>$A$3</formula>
    </cfRule>
    <cfRule type="expression" dxfId="178" priority="274">
      <formula>Y15="ok"</formula>
    </cfRule>
    <cfRule type="expression" dxfId="177" priority="275">
      <formula>Z15="ok"</formula>
    </cfRule>
    <cfRule type="expression" dxfId="176" priority="276">
      <formula>W15=$A$3</formula>
    </cfRule>
  </conditionalFormatting>
  <conditionalFormatting sqref="W19">
    <cfRule type="cellIs" dxfId="175" priority="269" operator="notEqual">
      <formula>$A$3</formula>
    </cfRule>
    <cfRule type="expression" dxfId="174" priority="270">
      <formula>Y19="ok"</formula>
    </cfRule>
    <cfRule type="expression" dxfId="173" priority="271">
      <formula>Z19="ok"</formula>
    </cfRule>
    <cfRule type="expression" dxfId="172" priority="272">
      <formula>W19=$A$3</formula>
    </cfRule>
  </conditionalFormatting>
  <conditionalFormatting sqref="W20">
    <cfRule type="cellIs" dxfId="171" priority="265" operator="notEqual">
      <formula>$A$3</formula>
    </cfRule>
    <cfRule type="expression" dxfId="170" priority="266">
      <formula>Y20="ok"</formula>
    </cfRule>
    <cfRule type="expression" dxfId="169" priority="267">
      <formula>Z20="ok"</formula>
    </cfRule>
    <cfRule type="expression" dxfId="168" priority="268">
      <formula>W20=$A$3</formula>
    </cfRule>
  </conditionalFormatting>
  <conditionalFormatting sqref="W18">
    <cfRule type="cellIs" dxfId="167" priority="261" operator="notEqual">
      <formula>$A$3</formula>
    </cfRule>
    <cfRule type="expression" dxfId="166" priority="262">
      <formula>Y18="ok"</formula>
    </cfRule>
    <cfRule type="expression" dxfId="165" priority="263">
      <formula>Z18="ok"</formula>
    </cfRule>
    <cfRule type="expression" dxfId="164" priority="264">
      <formula>W18=$A$3</formula>
    </cfRule>
  </conditionalFormatting>
  <conditionalFormatting sqref="X17:X20">
    <cfRule type="cellIs" dxfId="163" priority="257" operator="notEqual">
      <formula>$A$3</formula>
    </cfRule>
    <cfRule type="expression" dxfId="162" priority="258">
      <formula>AA17="ok"</formula>
    </cfRule>
    <cfRule type="expression" dxfId="161" priority="259">
      <formula>AB17="ok"</formula>
    </cfRule>
    <cfRule type="expression" dxfId="160" priority="260">
      <formula>X17=$A$3</formula>
    </cfRule>
  </conditionalFormatting>
  <conditionalFormatting sqref="X20">
    <cfRule type="cellIs" dxfId="159" priority="253" operator="notEqual">
      <formula>$A$3</formula>
    </cfRule>
    <cfRule type="expression" dxfId="158" priority="254">
      <formula>AA20="ok"</formula>
    </cfRule>
    <cfRule type="expression" dxfId="157" priority="255">
      <formula>AB20="ok"</formula>
    </cfRule>
    <cfRule type="expression" dxfId="156" priority="256">
      <formula>X20=$A$3</formula>
    </cfRule>
  </conditionalFormatting>
  <conditionalFormatting sqref="W17">
    <cfRule type="cellIs" dxfId="155" priority="249" operator="notEqual">
      <formula>$A$3</formula>
    </cfRule>
    <cfRule type="expression" dxfId="154" priority="250">
      <formula>Y17="ok"</formula>
    </cfRule>
    <cfRule type="expression" dxfId="153" priority="251">
      <formula>Z17="ok"</formula>
    </cfRule>
    <cfRule type="expression" dxfId="152" priority="252">
      <formula>W17=$A$3</formula>
    </cfRule>
  </conditionalFormatting>
  <conditionalFormatting sqref="X17">
    <cfRule type="cellIs" dxfId="151" priority="245" operator="notEqual">
      <formula>$A$3</formula>
    </cfRule>
    <cfRule type="expression" dxfId="150" priority="246">
      <formula>AA17="ok"</formula>
    </cfRule>
    <cfRule type="expression" dxfId="149" priority="247">
      <formula>AB17="ok"</formula>
    </cfRule>
    <cfRule type="expression" dxfId="148" priority="248">
      <formula>X17=$A$3</formula>
    </cfRule>
  </conditionalFormatting>
  <conditionalFormatting sqref="AD16">
    <cfRule type="cellIs" dxfId="147" priority="241" operator="notEqual">
      <formula>$A$3</formula>
    </cfRule>
    <cfRule type="expression" dxfId="146" priority="242">
      <formula>AF16="ok"</formula>
    </cfRule>
    <cfRule type="expression" dxfId="145" priority="243">
      <formula>AG16="ok"</formula>
    </cfRule>
    <cfRule type="expression" dxfId="144" priority="244">
      <formula>AD16=$A$3</formula>
    </cfRule>
  </conditionalFormatting>
  <conditionalFormatting sqref="AD18">
    <cfRule type="cellIs" dxfId="143" priority="237" operator="notEqual">
      <formula>$A$3</formula>
    </cfRule>
    <cfRule type="expression" dxfId="142" priority="238">
      <formula>AF18="ok"</formula>
    </cfRule>
    <cfRule type="expression" dxfId="141" priority="239">
      <formula>AG18="ok"</formula>
    </cfRule>
    <cfRule type="expression" dxfId="140" priority="240">
      <formula>AD18=$A$3</formula>
    </cfRule>
  </conditionalFormatting>
  <conditionalFormatting sqref="AD20">
    <cfRule type="cellIs" dxfId="139" priority="233" operator="notEqual">
      <formula>$A$3</formula>
    </cfRule>
    <cfRule type="expression" dxfId="138" priority="234">
      <formula>AF20="ok"</formula>
    </cfRule>
    <cfRule type="expression" dxfId="137" priority="235">
      <formula>AG20="ok"</formula>
    </cfRule>
    <cfRule type="expression" dxfId="136" priority="236">
      <formula>AD20=$A$3</formula>
    </cfRule>
  </conditionalFormatting>
  <conditionalFormatting sqref="AE15">
    <cfRule type="cellIs" dxfId="135" priority="229" operator="notEqual">
      <formula>$A$3</formula>
    </cfRule>
    <cfRule type="expression" dxfId="134" priority="230">
      <formula>AH15="ok"</formula>
    </cfRule>
    <cfRule type="expression" dxfId="133" priority="231">
      <formula>AI15="ok"</formula>
    </cfRule>
    <cfRule type="expression" dxfId="132" priority="232">
      <formula>AE15=$A$3</formula>
    </cfRule>
  </conditionalFormatting>
  <conditionalFormatting sqref="AE16">
    <cfRule type="cellIs" dxfId="131" priority="225" operator="notEqual">
      <formula>$A$3</formula>
    </cfRule>
    <cfRule type="expression" dxfId="130" priority="226">
      <formula>AH16="ok"</formula>
    </cfRule>
    <cfRule type="expression" dxfId="129" priority="227">
      <formula>AI16="ok"</formula>
    </cfRule>
    <cfRule type="expression" dxfId="128" priority="228">
      <formula>AE16=$A$3</formula>
    </cfRule>
  </conditionalFormatting>
  <conditionalFormatting sqref="AE18">
    <cfRule type="cellIs" dxfId="127" priority="221" operator="notEqual">
      <formula>$A$3</formula>
    </cfRule>
    <cfRule type="expression" dxfId="126" priority="222">
      <formula>AH18="ok"</formula>
    </cfRule>
    <cfRule type="expression" dxfId="125" priority="223">
      <formula>AI18="ok"</formula>
    </cfRule>
    <cfRule type="expression" dxfId="124" priority="224">
      <formula>AE18=$A$3</formula>
    </cfRule>
  </conditionalFormatting>
  <conditionalFormatting sqref="AE19">
    <cfRule type="cellIs" dxfId="123" priority="217" operator="notEqual">
      <formula>$A$3</formula>
    </cfRule>
    <cfRule type="expression" dxfId="122" priority="218">
      <formula>AH19="ok"</formula>
    </cfRule>
    <cfRule type="expression" dxfId="121" priority="219">
      <formula>AI19="ok"</formula>
    </cfRule>
    <cfRule type="expression" dxfId="120" priority="220">
      <formula>AE19=$A$3</formula>
    </cfRule>
  </conditionalFormatting>
  <conditionalFormatting sqref="AE20">
    <cfRule type="cellIs" dxfId="119" priority="213" operator="notEqual">
      <formula>$A$3</formula>
    </cfRule>
    <cfRule type="expression" dxfId="118" priority="214">
      <formula>AH20="ok"</formula>
    </cfRule>
    <cfRule type="expression" dxfId="117" priority="215">
      <formula>AI20="ok"</formula>
    </cfRule>
    <cfRule type="expression" dxfId="116" priority="216">
      <formula>AE20=$A$3</formula>
    </cfRule>
  </conditionalFormatting>
  <conditionalFormatting sqref="AD15">
    <cfRule type="cellIs" dxfId="115" priority="209" operator="notEqual">
      <formula>$A$3</formula>
    </cfRule>
    <cfRule type="expression" dxfId="114" priority="210">
      <formula>AF15="ok"</formula>
    </cfRule>
    <cfRule type="expression" dxfId="113" priority="211">
      <formula>AG15="ok"</formula>
    </cfRule>
    <cfRule type="expression" dxfId="112" priority="212">
      <formula>AD15=$A$3</formula>
    </cfRule>
  </conditionalFormatting>
  <conditionalFormatting sqref="AD17">
    <cfRule type="cellIs" dxfId="111" priority="205" operator="notEqual">
      <formula>$A$3</formula>
    </cfRule>
    <cfRule type="expression" dxfId="110" priority="206">
      <formula>AF17="ok"</formula>
    </cfRule>
    <cfRule type="expression" dxfId="109" priority="207">
      <formula>AG17="ok"</formula>
    </cfRule>
    <cfRule type="expression" dxfId="108" priority="208">
      <formula>AD17=$A$3</formula>
    </cfRule>
  </conditionalFormatting>
  <conditionalFormatting sqref="AD19">
    <cfRule type="cellIs" dxfId="107" priority="201" operator="notEqual">
      <formula>$A$3</formula>
    </cfRule>
    <cfRule type="expression" dxfId="106" priority="202">
      <formula>AF19="ok"</formula>
    </cfRule>
    <cfRule type="expression" dxfId="105" priority="203">
      <formula>AG19="ok"</formula>
    </cfRule>
    <cfRule type="expression" dxfId="104" priority="204">
      <formula>AD19=$A$3</formula>
    </cfRule>
  </conditionalFormatting>
  <conditionalFormatting sqref="AE17">
    <cfRule type="cellIs" dxfId="103" priority="197" operator="notEqual">
      <formula>$A$3</formula>
    </cfRule>
    <cfRule type="expression" dxfId="102" priority="198">
      <formula>AH17="ok"</formula>
    </cfRule>
    <cfRule type="expression" dxfId="101" priority="199">
      <formula>AI17="ok"</formula>
    </cfRule>
    <cfRule type="expression" dxfId="100" priority="200">
      <formula>AE17=$A$3</formula>
    </cfRule>
  </conditionalFormatting>
  <conditionalFormatting sqref="AK16">
    <cfRule type="cellIs" dxfId="99" priority="193" operator="notEqual">
      <formula>$A$3</formula>
    </cfRule>
    <cfRule type="expression" dxfId="98" priority="194">
      <formula>AM16="ok"</formula>
    </cfRule>
    <cfRule type="expression" dxfId="97" priority="195">
      <formula>AN16="ok"</formula>
    </cfRule>
    <cfRule type="expression" dxfId="96" priority="196">
      <formula>AK16=$A$3</formula>
    </cfRule>
  </conditionalFormatting>
  <conditionalFormatting sqref="AL16">
    <cfRule type="cellIs" dxfId="95" priority="189" operator="notEqual">
      <formula>$A$3</formula>
    </cfRule>
    <cfRule type="expression" dxfId="94" priority="190">
      <formula>AO16="ok"</formula>
    </cfRule>
    <cfRule type="expression" dxfId="93" priority="191">
      <formula>AP16="ok"</formula>
    </cfRule>
    <cfRule type="expression" dxfId="92" priority="192">
      <formula>AL16=$A$3</formula>
    </cfRule>
  </conditionalFormatting>
  <conditionalFormatting sqref="AK15">
    <cfRule type="cellIs" dxfId="91" priority="185" operator="notEqual">
      <formula>$A$3</formula>
    </cfRule>
    <cfRule type="expression" dxfId="90" priority="186">
      <formula>AM15="ok"</formula>
    </cfRule>
    <cfRule type="expression" dxfId="89" priority="187">
      <formula>AN15="ok"</formula>
    </cfRule>
    <cfRule type="expression" dxfId="88" priority="188">
      <formula>AK15=$A$3</formula>
    </cfRule>
  </conditionalFormatting>
  <conditionalFormatting sqref="AK17">
    <cfRule type="cellIs" dxfId="87" priority="181" operator="notEqual">
      <formula>$A$3</formula>
    </cfRule>
    <cfRule type="expression" dxfId="86" priority="182">
      <formula>AM17="ok"</formula>
    </cfRule>
    <cfRule type="expression" dxfId="85" priority="183">
      <formula>AN17="ok"</formula>
    </cfRule>
    <cfRule type="expression" dxfId="84" priority="184">
      <formula>AK17=$A$3</formula>
    </cfRule>
  </conditionalFormatting>
  <conditionalFormatting sqref="AL15">
    <cfRule type="cellIs" dxfId="83" priority="177" operator="notEqual">
      <formula>$A$3</formula>
    </cfRule>
    <cfRule type="expression" dxfId="82" priority="178">
      <formula>AO15="ok"</formula>
    </cfRule>
    <cfRule type="expression" dxfId="81" priority="179">
      <formula>AP15="ok"</formula>
    </cfRule>
    <cfRule type="expression" dxfId="80" priority="180">
      <formula>AL15=$A$3</formula>
    </cfRule>
  </conditionalFormatting>
  <conditionalFormatting sqref="AL17">
    <cfRule type="cellIs" dxfId="79" priority="173" operator="notEqual">
      <formula>$A$3</formula>
    </cfRule>
    <cfRule type="expression" dxfId="78" priority="174">
      <formula>AO17="ok"</formula>
    </cfRule>
    <cfRule type="expression" dxfId="77" priority="175">
      <formula>AP17="ok"</formula>
    </cfRule>
    <cfRule type="expression" dxfId="76" priority="176">
      <formula>AL17=$A$3</formula>
    </cfRule>
  </conditionalFormatting>
  <conditionalFormatting sqref="P37">
    <cfRule type="cellIs" dxfId="75" priority="105" operator="notEqual">
      <formula>$A$3</formula>
    </cfRule>
    <cfRule type="expression" dxfId="74" priority="106">
      <formula>R37="ok"</formula>
    </cfRule>
    <cfRule type="expression" dxfId="73" priority="107">
      <formula>S37="ok"</formula>
    </cfRule>
    <cfRule type="expression" dxfId="72" priority="108">
      <formula>P37=$A$3</formula>
    </cfRule>
  </conditionalFormatting>
  <conditionalFormatting sqref="I7">
    <cfRule type="cellIs" dxfId="71" priority="81" operator="notEqual">
      <formula>$A$3</formula>
    </cfRule>
    <cfRule type="expression" dxfId="70" priority="82">
      <formula>K7="ok"</formula>
    </cfRule>
    <cfRule type="expression" dxfId="69" priority="83">
      <formula>L7="ok"</formula>
    </cfRule>
    <cfRule type="expression" dxfId="68" priority="84">
      <formula>I7=$A$3</formula>
    </cfRule>
  </conditionalFormatting>
  <conditionalFormatting sqref="B5">
    <cfRule type="cellIs" dxfId="67" priority="69" operator="notEqual">
      <formula>$A$3</formula>
    </cfRule>
    <cfRule type="expression" dxfId="66" priority="70">
      <formula>D5="ok"</formula>
    </cfRule>
    <cfRule type="expression" dxfId="65" priority="71">
      <formula>E5="ok"</formula>
    </cfRule>
    <cfRule type="expression" dxfId="64" priority="72">
      <formula>B5=$A$3</formula>
    </cfRule>
  </conditionalFormatting>
  <conditionalFormatting sqref="C4">
    <cfRule type="cellIs" dxfId="63" priority="65" operator="notEqual">
      <formula>$A$3</formula>
    </cfRule>
    <cfRule type="expression" dxfId="62" priority="66">
      <formula>F4="ok"</formula>
    </cfRule>
    <cfRule type="expression" dxfId="61" priority="67">
      <formula>G4="ok"</formula>
    </cfRule>
    <cfRule type="expression" dxfId="60" priority="68">
      <formula>C4=$A$3</formula>
    </cfRule>
  </conditionalFormatting>
  <conditionalFormatting sqref="C8">
    <cfRule type="cellIs" dxfId="59" priority="61" operator="notEqual">
      <formula>$A$3</formula>
    </cfRule>
    <cfRule type="expression" dxfId="58" priority="62">
      <formula>F8="ok"</formula>
    </cfRule>
    <cfRule type="expression" dxfId="57" priority="63">
      <formula>G8="ok"</formula>
    </cfRule>
    <cfRule type="expression" dxfId="56" priority="64">
      <formula>C8=$A$3</formula>
    </cfRule>
  </conditionalFormatting>
  <conditionalFormatting sqref="C9">
    <cfRule type="cellIs" dxfId="55" priority="57" operator="notEqual">
      <formula>$A$3</formula>
    </cfRule>
    <cfRule type="expression" dxfId="54" priority="58">
      <formula>F9="ok"</formula>
    </cfRule>
    <cfRule type="expression" dxfId="53" priority="59">
      <formula>G9="ok"</formula>
    </cfRule>
    <cfRule type="expression" dxfId="52" priority="60">
      <formula>C9=$A$3</formula>
    </cfRule>
  </conditionalFormatting>
  <conditionalFormatting sqref="C6">
    <cfRule type="cellIs" dxfId="51" priority="53" operator="notEqual">
      <formula>$A$3</formula>
    </cfRule>
    <cfRule type="expression" dxfId="50" priority="54">
      <formula>F6="ok"</formula>
    </cfRule>
    <cfRule type="expression" dxfId="49" priority="55">
      <formula>G6="ok"</formula>
    </cfRule>
    <cfRule type="expression" dxfId="48" priority="56">
      <formula>C6=$A$3</formula>
    </cfRule>
  </conditionalFormatting>
  <conditionalFormatting sqref="C7">
    <cfRule type="cellIs" dxfId="47" priority="49" operator="notEqual">
      <formula>$A$3</formula>
    </cfRule>
    <cfRule type="expression" dxfId="46" priority="50">
      <formula>F7="ok"</formula>
    </cfRule>
    <cfRule type="expression" dxfId="45" priority="51">
      <formula>G7="ok"</formula>
    </cfRule>
    <cfRule type="expression" dxfId="44" priority="52">
      <formula>C7=$A$3</formula>
    </cfRule>
  </conditionalFormatting>
  <conditionalFormatting sqref="C5">
    <cfRule type="cellIs" dxfId="43" priority="45" operator="notEqual">
      <formula>$A$3</formula>
    </cfRule>
    <cfRule type="expression" dxfId="42" priority="46">
      <formula>F5="ok"</formula>
    </cfRule>
    <cfRule type="expression" dxfId="41" priority="47">
      <formula>G5="ok"</formula>
    </cfRule>
    <cfRule type="expression" dxfId="40" priority="48">
      <formula>C5=$A$3</formula>
    </cfRule>
  </conditionalFormatting>
  <conditionalFormatting sqref="B6">
    <cfRule type="cellIs" dxfId="39" priority="41" operator="notEqual">
      <formula>$A$3</formula>
    </cfRule>
    <cfRule type="expression" dxfId="38" priority="42">
      <formula>D6="ok"</formula>
    </cfRule>
    <cfRule type="expression" dxfId="37" priority="43">
      <formula>E6="ok"</formula>
    </cfRule>
    <cfRule type="expression" dxfId="36" priority="44">
      <formula>B6=$A$3</formula>
    </cfRule>
  </conditionalFormatting>
  <conditionalFormatting sqref="B9">
    <cfRule type="cellIs" dxfId="35" priority="37" operator="notEqual">
      <formula>$A$3</formula>
    </cfRule>
    <cfRule type="expression" dxfId="34" priority="38">
      <formula>D9="ok"</formula>
    </cfRule>
    <cfRule type="expression" dxfId="33" priority="39">
      <formula>E9="ok"</formula>
    </cfRule>
    <cfRule type="expression" dxfId="32" priority="40">
      <formula>B9=$A$3</formula>
    </cfRule>
  </conditionalFormatting>
  <conditionalFormatting sqref="B4">
    <cfRule type="cellIs" dxfId="31" priority="33" operator="notEqual">
      <formula>$A$3</formula>
    </cfRule>
    <cfRule type="expression" dxfId="30" priority="34">
      <formula>D4="ok"</formula>
    </cfRule>
    <cfRule type="expression" dxfId="29" priority="35">
      <formula>E4="ok"</formula>
    </cfRule>
    <cfRule type="expression" dxfId="28" priority="36">
      <formula>B4=$A$3</formula>
    </cfRule>
  </conditionalFormatting>
  <conditionalFormatting sqref="B8">
    <cfRule type="cellIs" dxfId="27" priority="29" operator="notEqual">
      <formula>$A$3</formula>
    </cfRule>
    <cfRule type="expression" dxfId="26" priority="30">
      <formula>D8="ok"</formula>
    </cfRule>
    <cfRule type="expression" dxfId="25" priority="31">
      <formula>E8="ok"</formula>
    </cfRule>
    <cfRule type="expression" dxfId="24" priority="32">
      <formula>B8=$A$3</formula>
    </cfRule>
  </conditionalFormatting>
  <conditionalFormatting sqref="B7">
    <cfRule type="cellIs" dxfId="23" priority="25" operator="notEqual">
      <formula>$A$3</formula>
    </cfRule>
    <cfRule type="expression" dxfId="22" priority="26">
      <formula>D7="ok"</formula>
    </cfRule>
    <cfRule type="expression" dxfId="21" priority="27">
      <formula>E7="ok"</formula>
    </cfRule>
    <cfRule type="expression" dxfId="20" priority="28">
      <formula>B7=$A$3</formula>
    </cfRule>
  </conditionalFormatting>
  <conditionalFormatting sqref="C15">
    <cfRule type="cellIs" dxfId="19" priority="21" operator="notEqual">
      <formula>$A$3</formula>
    </cfRule>
    <cfRule type="expression" dxfId="18" priority="22">
      <formula>F15="ok"</formula>
    </cfRule>
    <cfRule type="expression" dxfId="17" priority="23">
      <formula>G15="ok"</formula>
    </cfRule>
    <cfRule type="expression" dxfId="16" priority="24">
      <formula>C15=$A$3</formula>
    </cfRule>
  </conditionalFormatting>
  <conditionalFormatting sqref="C16:C19">
    <cfRule type="cellIs" dxfId="15" priority="17" operator="notEqual">
      <formula>$A$3</formula>
    </cfRule>
    <cfRule type="expression" dxfId="14" priority="18">
      <formula>F16="ok"</formula>
    </cfRule>
    <cfRule type="expression" dxfId="13" priority="19">
      <formula>G16="ok"</formula>
    </cfRule>
    <cfRule type="expression" dxfId="12" priority="20">
      <formula>C16=$A$3</formula>
    </cfRule>
  </conditionalFormatting>
  <conditionalFormatting sqref="C20">
    <cfRule type="cellIs" dxfId="11" priority="13" operator="notEqual">
      <formula>$A$3</formula>
    </cfRule>
    <cfRule type="expression" dxfId="10" priority="14">
      <formula>F20="ok"</formula>
    </cfRule>
    <cfRule type="expression" dxfId="9" priority="15">
      <formula>G20="ok"</formula>
    </cfRule>
    <cfRule type="expression" dxfId="8" priority="16">
      <formula>C20=$A$3</formula>
    </cfRule>
  </conditionalFormatting>
  <conditionalFormatting sqref="Q9">
    <cfRule type="cellIs" dxfId="7" priority="9" operator="notEqual">
      <formula>$A$3</formula>
    </cfRule>
    <cfRule type="expression" dxfId="6" priority="10">
      <formula>T9="ok"</formula>
    </cfRule>
    <cfRule type="expression" dxfId="5" priority="11">
      <formula>U9="ok"</formula>
    </cfRule>
    <cfRule type="expression" dxfId="4" priority="12">
      <formula>Q9=$A$3</formula>
    </cfRule>
  </conditionalFormatting>
  <conditionalFormatting sqref="AL39">
    <cfRule type="cellIs" dxfId="3" priority="1" operator="notEqual">
      <formula>$A$3</formula>
    </cfRule>
    <cfRule type="expression" dxfId="2" priority="2">
      <formula>AO39="ok"</formula>
    </cfRule>
    <cfRule type="expression" dxfId="1" priority="3">
      <formula>AP39="ok"</formula>
    </cfRule>
    <cfRule type="expression" dxfId="0" priority="4">
      <formula>AL39=$A$3</formula>
    </cfRule>
  </conditionalFormatting>
  <printOptions horizontalCentered="1" verticalCentered="1"/>
  <pageMargins left="0.7" right="0.7" top="0.75" bottom="0.75" header="0.3" footer="0.3"/>
  <pageSetup paperSize="9" scale="88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F9D249F7E01C4C82161EE729498764" ma:contentTypeVersion="4" ma:contentTypeDescription="Crée un document." ma:contentTypeScope="" ma:versionID="2b1f020c59d5f3366833c02a9786099c">
  <xsd:schema xmlns:xsd="http://www.w3.org/2001/XMLSchema" xmlns:xs="http://www.w3.org/2001/XMLSchema" xmlns:p="http://schemas.microsoft.com/office/2006/metadata/properties" xmlns:ns2="af0ef186-448b-4d0f-8690-ebe99e8048b7" targetNamespace="http://schemas.microsoft.com/office/2006/metadata/properties" ma:root="true" ma:fieldsID="76e1ce56fd5898866a5e546ae43b271f" ns2:_="">
    <xsd:import namespace="af0ef186-448b-4d0f-8690-ebe99e804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0ef186-448b-4d0f-8690-ebe99e804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D5F9955-3581-4F56-91E1-23AEBB72413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79B9756-8951-4345-B4B8-D4815990D9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0ef186-448b-4d0f-8690-ebe99e8048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1D8DFE9-CC6B-4130-A88B-1421F231B26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FU</vt:lpstr>
      <vt:lpstr>sup</vt:lpstr>
      <vt:lpstr>FU!Zone_d_impression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DIVIA Formation</dc:creator>
  <cp:keywords/>
  <dc:description/>
  <cp:lastModifiedBy>Marine SABLE</cp:lastModifiedBy>
  <cp:revision/>
  <dcterms:created xsi:type="dcterms:W3CDTF">2012-12-11T15:59:33Z</dcterms:created>
  <dcterms:modified xsi:type="dcterms:W3CDTF">2024-11-16T14:04:13Z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0x010100D2F9D249F7E01C4C82161EE729498764</vt:lpwstr>
  </property>
</Properties>
</file>